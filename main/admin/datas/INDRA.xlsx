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AC-2023-24\3rd-sem\FEEDBACK\ALGO-LAB\"/>
    </mc:Choice>
  </mc:AlternateContent>
  <xr:revisionPtr revIDLastSave="0" documentId="13_ncr:1_{66C7AAC5-A336-4365-A7E1-912827C4AA0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20IT241" sheetId="1" r:id="rId1"/>
    <sheet name="20IT241-G" sheetId="2" r:id="rId2"/>
  </sheets>
  <definedNames>
    <definedName name="_xlnm.Print_Area" localSheetId="0">'20IT241'!$A$1:$P$43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3" i="1" l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A83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A82" i="1"/>
  <c r="B81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A81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A8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B20" i="1"/>
  <c r="B27" i="1" l="1"/>
  <c r="F86" i="1" l="1"/>
  <c r="E86" i="1"/>
  <c r="H86" i="1"/>
  <c r="I86" i="1"/>
  <c r="G86" i="1"/>
  <c r="M86" i="1"/>
  <c r="N86" i="1"/>
  <c r="O86" i="1"/>
  <c r="L85" i="1"/>
  <c r="K86" i="1"/>
  <c r="J86" i="1"/>
  <c r="C85" i="1"/>
  <c r="D85" i="1"/>
  <c r="B85" i="1"/>
  <c r="C86" i="1"/>
  <c r="B86" i="1"/>
  <c r="D86" i="1"/>
  <c r="A86" i="1"/>
  <c r="E85" i="1"/>
  <c r="I85" i="1"/>
  <c r="L86" i="1"/>
  <c r="H85" i="1"/>
  <c r="A85" i="1"/>
  <c r="G85" i="1"/>
  <c r="O85" i="1"/>
  <c r="N85" i="1"/>
  <c r="M85" i="1"/>
  <c r="K85" i="1"/>
  <c r="F85" i="1"/>
  <c r="J85" i="1"/>
  <c r="L27" i="1"/>
  <c r="C27" i="1"/>
  <c r="D27" i="1"/>
  <c r="E27" i="1"/>
  <c r="F27" i="1"/>
  <c r="G27" i="1"/>
  <c r="H27" i="1"/>
  <c r="I27" i="1"/>
  <c r="J27" i="1"/>
  <c r="K27" i="1"/>
  <c r="M27" i="1"/>
  <c r="N27" i="1"/>
  <c r="O27" i="1"/>
  <c r="A27" i="1"/>
  <c r="F24" i="1"/>
  <c r="G24" i="1"/>
  <c r="H24" i="1"/>
  <c r="I24" i="1"/>
  <c r="F23" i="1"/>
  <c r="G23" i="1"/>
  <c r="H23" i="1"/>
  <c r="I23" i="1"/>
  <c r="F22" i="1"/>
  <c r="G22" i="1"/>
  <c r="H22" i="1"/>
  <c r="I22" i="1"/>
  <c r="F87" i="1" l="1"/>
  <c r="B87" i="1"/>
  <c r="E87" i="1"/>
  <c r="K87" i="1"/>
  <c r="M87" i="1"/>
  <c r="C87" i="1"/>
  <c r="J87" i="1"/>
  <c r="H87" i="1"/>
  <c r="I87" i="1"/>
  <c r="A87" i="1"/>
  <c r="G87" i="1"/>
  <c r="N87" i="1"/>
  <c r="O87" i="1"/>
  <c r="L87" i="1"/>
  <c r="D87" i="1"/>
  <c r="I21" i="1"/>
  <c r="I25" i="1" s="1"/>
  <c r="H21" i="1"/>
  <c r="H25" i="1" s="1"/>
  <c r="G21" i="1"/>
  <c r="G25" i="1" s="1"/>
  <c r="F21" i="1"/>
  <c r="F25" i="1" s="1"/>
  <c r="P24" i="1"/>
  <c r="M24" i="1"/>
  <c r="N24" i="1"/>
  <c r="O24" i="1"/>
  <c r="N23" i="1" l="1"/>
  <c r="O23" i="1"/>
  <c r="P23" i="1"/>
  <c r="N22" i="1"/>
  <c r="O22" i="1"/>
  <c r="P22" i="1"/>
  <c r="N21" i="1"/>
  <c r="O21" i="1"/>
  <c r="P21" i="1" l="1"/>
  <c r="P25" i="1" s="1"/>
  <c r="O25" i="1"/>
  <c r="N25" i="1"/>
  <c r="C24" i="1"/>
  <c r="D24" i="1"/>
  <c r="E24" i="1"/>
  <c r="J24" i="1"/>
  <c r="K24" i="1"/>
  <c r="L24" i="1"/>
  <c r="B24" i="1"/>
  <c r="B23" i="1"/>
  <c r="C23" i="1" l="1"/>
  <c r="D23" i="1"/>
  <c r="E23" i="1"/>
  <c r="J23" i="1"/>
  <c r="K23" i="1"/>
  <c r="L23" i="1"/>
  <c r="M23" i="1"/>
  <c r="C22" i="1"/>
  <c r="D22" i="1"/>
  <c r="E22" i="1"/>
  <c r="J22" i="1"/>
  <c r="K22" i="1"/>
  <c r="L22" i="1"/>
  <c r="M22" i="1"/>
  <c r="B22" i="1"/>
  <c r="C21" i="1"/>
  <c r="D21" i="1"/>
  <c r="E21" i="1"/>
  <c r="J21" i="1"/>
  <c r="K21" i="1"/>
  <c r="L21" i="1"/>
  <c r="M21" i="1"/>
  <c r="B21" i="1"/>
  <c r="J25" i="1" l="1"/>
  <c r="K25" i="1"/>
  <c r="L25" i="1"/>
  <c r="M25" i="1"/>
  <c r="B25" i="1"/>
  <c r="E25" i="1"/>
  <c r="D25" i="1"/>
  <c r="C25" i="1"/>
  <c r="A21" i="1" l="1"/>
</calcChain>
</file>

<file path=xl/sharedStrings.xml><?xml version="1.0" encoding="utf-8"?>
<sst xmlns="http://schemas.openxmlformats.org/spreadsheetml/2006/main" count="81" uniqueCount="60">
  <si>
    <t>SECTION:</t>
  </si>
  <si>
    <t>Course code &amp; Title</t>
  </si>
  <si>
    <t>Faculty Name:</t>
  </si>
  <si>
    <t>Total</t>
  </si>
  <si>
    <t>Total number of students</t>
  </si>
  <si>
    <t>Parameter</t>
  </si>
  <si>
    <t>DEPARTMENT OF EIE</t>
  </si>
  <si>
    <r>
      <t>YEAR :</t>
    </r>
    <r>
      <rPr>
        <sz val="10"/>
        <color rgb="FF000000"/>
        <rFont val="Perpetua"/>
        <family val="1"/>
      </rPr>
      <t>II</t>
    </r>
  </si>
  <si>
    <t>SEMESTER: IV</t>
  </si>
  <si>
    <t>%in 3&amp;4</t>
  </si>
  <si>
    <r>
      <rPr>
        <b/>
        <sz val="10.5"/>
        <color theme="1"/>
        <rFont val="Times New Roman"/>
        <family val="1"/>
      </rPr>
      <t>SRI RAMAKRISHNA ENGINEERING COLLEGE</t>
    </r>
    <r>
      <rPr>
        <sz val="10.5"/>
        <color theme="1"/>
        <rFont val="Times New Roman"/>
        <family val="1"/>
      </rPr>
      <t xml:space="preserve">
[Educational Service : SNR Sons Charitable Trust]
[Autonomous Institution, Reaccredited by NAAC with ‘A+’ Grade]
[Approved by AICTE and Permanently Affiliated to Anna University, Chennai]
[ISO 9001:2015 Certified and all eligible programmes Accredited by NBA]
VATTAMALAIPALAYAM, N.G.G.O. COLONY POST, 
COIMBATORE – 641 022</t>
    </r>
  </si>
  <si>
    <t xml:space="preserve">   STUDENT FEEDBACK ON FACULTY</t>
  </si>
  <si>
    <t>01. The Course Instructor clearly explained the course objectives and outcomes.</t>
  </si>
  <si>
    <t>02. The course instructor demonstrated a strong understanding of the subject matter.</t>
  </si>
  <si>
    <t>03. The Course Instructor showcased effective communication skills.</t>
  </si>
  <si>
    <t>04. The Course Instructor regularly arrived on time and was available throughout
the session.</t>
  </si>
  <si>
    <t>05. The Course Instructor covered the syllabus and explained the topics well.</t>
  </si>
  <si>
    <t>06. The Course Instructor effectively used teaching aids and technology to
enhance learning.</t>
  </si>
  <si>
    <t>07. The Course Instructor used real-world scenarios that helped in developing
critical thinking and problem solving skills.</t>
  </si>
  <si>
    <t>08. The Course Instructor engaged participation and encouraged involvement
through classroom activities.</t>
  </si>
  <si>
    <t>09. The Course Instructor was approachable for questions and offered
assistance whenever necessary.</t>
  </si>
  <si>
    <t>10. The Course Instructor made extra efforts to support all students, including
those who needed help.</t>
  </si>
  <si>
    <t>11. The course instructor provided timely and constructive feedback on the
submitted tasks.</t>
  </si>
  <si>
    <t>12. The course instructor provided e-resources and other reference materials
to support learning.</t>
  </si>
  <si>
    <t>13. The course instructor fairly assessed and discussed the answers after each test and assignment.</t>
  </si>
  <si>
    <t>14. Overall, I am satisfied with the course instructor's teaching methodology and approach.</t>
  </si>
  <si>
    <t>15. The course instructor continuously improved their teaching based on feedback throughout the course.</t>
  </si>
  <si>
    <t>Please share any comments or suggestions:</t>
  </si>
  <si>
    <t>Good</t>
  </si>
  <si>
    <t>.</t>
  </si>
  <si>
    <t>Nil</t>
  </si>
  <si>
    <t>-</t>
  </si>
  <si>
    <t>20MA214 - Discrete Structures and
Combinatorics</t>
  </si>
  <si>
    <t xml:space="preserve"> Dr.N.Gopalakrishnan,AP(Sr.G)/Maths</t>
  </si>
  <si>
    <t>No</t>
  </si>
  <si>
    <t xml:space="preserve">Good </t>
  </si>
  <si>
    <t>no suggestion</t>
  </si>
  <si>
    <t xml:space="preserve">. </t>
  </si>
  <si>
    <t xml:space="preserve">Good teaching and supportive </t>
  </si>
  <si>
    <t>----</t>
  </si>
  <si>
    <t>NA</t>
  </si>
  <si>
    <t>satisfied</t>
  </si>
  <si>
    <t>..</t>
  </si>
  <si>
    <t xml:space="preserve">Teaching style is good </t>
  </si>
  <si>
    <t>Teaching was good</t>
  </si>
  <si>
    <t xml:space="preserve">Nice </t>
  </si>
  <si>
    <t xml:space="preserve">Good experience </t>
  </si>
  <si>
    <t>Nill</t>
  </si>
  <si>
    <t xml:space="preserve">Hard to understand and implement </t>
  </si>
  <si>
    <t>Overall, I am satisfied with the course instructor's teaching methodology
and approach.</t>
  </si>
  <si>
    <t xml:space="preserve">No comments </t>
  </si>
  <si>
    <t>Satisfied</t>
  </si>
  <si>
    <t xml:space="preserve">Class was good </t>
  </si>
  <si>
    <t>Good teaching</t>
  </si>
  <si>
    <t xml:space="preserve">Good teaching </t>
  </si>
  <si>
    <t>👍</t>
  </si>
  <si>
    <t xml:space="preserve">I am satisfied </t>
  </si>
  <si>
    <t xml:space="preserve">Good! </t>
  </si>
  <si>
    <t>Non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</si>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</sst>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b/>
      <sz val="16"/>
      <color rgb="FFFF0000"/>
      <name val="Times New Roman"/>
      <family val="1"/>
    </font>
    <font>
      <b/>
      <sz val="10"/>
      <color rgb="FF002060"/>
      <name val="Times New Roman"/>
      <family val="1"/>
    </font>
    <font>
      <b/>
      <sz val="9"/>
      <color theme="1"/>
      <name val="Perpetua"/>
      <family val="1"/>
    </font>
    <font>
      <sz val="9"/>
      <color theme="1"/>
      <name val="Perpetua"/>
      <family val="1"/>
    </font>
    <font>
      <b/>
      <sz val="10"/>
      <color rgb="FF002060"/>
      <name val="Perpetua"/>
      <family val="1"/>
    </font>
    <font>
      <sz val="11"/>
      <color theme="1"/>
      <name val="Perpetua"/>
      <family val="1"/>
    </font>
    <font>
      <b/>
      <sz val="11"/>
      <color theme="1"/>
      <name val="Perpetua"/>
      <family val="1"/>
    </font>
    <font>
      <b/>
      <sz val="10"/>
      <color rgb="FF000000"/>
      <name val="Perpetua"/>
      <family val="1"/>
    </font>
    <font>
      <sz val="10"/>
      <color rgb="FF000000"/>
      <name val="Perpetua"/>
      <family val="1"/>
    </font>
    <font>
      <b/>
      <sz val="10"/>
      <color theme="1"/>
      <name val="Perpetua"/>
      <family val="1"/>
    </font>
    <font>
      <sz val="10"/>
      <color theme="1"/>
      <name val="Perpetua"/>
      <family val="1"/>
    </font>
    <font>
      <b/>
      <sz val="8"/>
      <color theme="1"/>
      <name val="Times New Roman"/>
      <family val="1"/>
    </font>
    <font>
      <b/>
      <sz val="12"/>
      <color theme="1"/>
      <name val="Perpetua"/>
      <family val="1"/>
    </font>
    <font>
      <b/>
      <sz val="12"/>
      <color theme="1"/>
      <name val="Times New Roman"/>
      <family val="1"/>
    </font>
    <font>
      <sz val="10.5"/>
      <color theme="1"/>
      <name val="Times New Roman"/>
      <family val="1"/>
    </font>
    <font>
      <b/>
      <sz val="10.5"/>
      <color theme="1"/>
      <name val="Times New Roman"/>
      <family val="1"/>
    </font>
    <font>
      <sz val="10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8" fillId="0" borderId="0" xfId="0" applyFont="1"/>
    <xf numFmtId="0" fontId="6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top" wrapText="1"/>
    </xf>
    <xf numFmtId="0" fontId="14" fillId="0" borderId="5" xfId="0" applyFont="1" applyBorder="1" applyAlignment="1">
      <alignment horizontal="center" vertical="top" wrapText="1"/>
    </xf>
    <xf numFmtId="0" fontId="14" fillId="0" borderId="8" xfId="0" applyFont="1" applyBorder="1" applyAlignment="1">
      <alignment horizontal="center" vertical="top" wrapText="1"/>
    </xf>
    <xf numFmtId="0" fontId="10" fillId="2" borderId="10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3" fillId="0" borderId="14" xfId="0" applyFont="1" applyBorder="1"/>
    <xf numFmtId="0" fontId="1" fillId="0" borderId="0" xfId="0" applyFont="1"/>
    <xf numFmtId="0" fontId="5" fillId="3" borderId="4" xfId="0" applyFont="1" applyFill="1" applyBorder="1" applyAlignment="1">
      <alignment horizontal="center" vertical="center"/>
    </xf>
    <xf numFmtId="0" fontId="19" fillId="4" borderId="1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9" fillId="5" borderId="20" xfId="0" applyFont="1" applyFill="1" applyBorder="1" applyAlignment="1">
      <alignment vertical="center"/>
    </xf>
    <xf numFmtId="0" fontId="19" fillId="4" borderId="21" xfId="0" applyFont="1" applyFill="1" applyBorder="1" applyAlignment="1">
      <alignment vertical="center"/>
    </xf>
    <xf numFmtId="0" fontId="19" fillId="5" borderId="21" xfId="0" applyFont="1" applyFill="1" applyBorder="1" applyAlignment="1">
      <alignment vertical="center"/>
    </xf>
    <xf numFmtId="0" fontId="19" fillId="4" borderId="20" xfId="0" applyFont="1" applyFill="1" applyBorder="1" applyAlignment="1">
      <alignment vertical="center"/>
    </xf>
    <xf numFmtId="0" fontId="19" fillId="5" borderId="22" xfId="0" applyFont="1" applyFill="1" applyBorder="1" applyAlignment="1">
      <alignment vertical="center"/>
    </xf>
    <xf numFmtId="0" fontId="9" fillId="0" borderId="14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12" fillId="2" borderId="12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left" wrapText="1"/>
    </xf>
    <xf numFmtId="0" fontId="7" fillId="0" borderId="0" xfId="0" applyFont="1" applyAlignment="1">
      <alignment horizontal="left" wrapText="1"/>
    </xf>
    <xf numFmtId="0" fontId="7" fillId="0" borderId="15" xfId="0" applyFont="1" applyBorder="1" applyAlignment="1">
      <alignment horizontal="left" wrapText="1"/>
    </xf>
    <xf numFmtId="0" fontId="4" fillId="0" borderId="1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5" xfId="0" applyFont="1" applyBorder="1" applyAlignment="1">
      <alignment horizontal="center"/>
    </xf>
    <xf numFmtId="0" fontId="17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12" fillId="2" borderId="16" xfId="0" applyFont="1" applyFill="1" applyBorder="1" applyAlignment="1">
      <alignment horizontal="center" vertical="center" wrapText="1"/>
    </xf>
    <xf numFmtId="0" fontId="12" fillId="2" borderId="18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4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 sz="840" b="0" i="0" u="none" strike="noStrike" baseline="0">
                <a:effectLst/>
              </a:rPr>
              <a:t>220CS274	Algorithms and Complexity – I Laboratory	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4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'20IT241'!$A$19</c:f>
              <c:strCache>
                <c:ptCount val="1"/>
                <c:pt idx="0">
                  <c:v>Total number of students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'20IT241'!$B$18:$P$18</c:f>
              <c:strCache>
                <c:ptCount val="15"/>
                <c:pt idx="0">
                  <c:v>01. The Course Instructor clearly explained the course objectives and outcomes.</c:v>
                </c:pt>
                <c:pt idx="1">
                  <c:v>02. The course instructor demonstrated a strong understanding of the subject matter.</c:v>
                </c:pt>
                <c:pt idx="2">
                  <c:v>03. The Course Instructor showcased effective communication skills.</c:v>
                </c:pt>
                <c:pt idx="3">
                  <c:v>04. The Course Instructor regularly arrived on time and was available throughout
the session.</c:v>
                </c:pt>
                <c:pt idx="4">
                  <c:v>05. The Course Instructor covered the syllabus and explained the topics well.</c:v>
                </c:pt>
                <c:pt idx="5">
                  <c:v>06. The Course Instructor effectively used teaching aids and technology to
enhance learning.</c:v>
                </c:pt>
                <c:pt idx="6">
                  <c:v>07. The Course Instructor used real-world scenarios that helped in developing
critical thinking and problem solving skills.</c:v>
                </c:pt>
                <c:pt idx="7">
                  <c:v>08. The Course Instructor engaged participation and encouraged involvement
through classroom activities.</c:v>
                </c:pt>
                <c:pt idx="8">
                  <c:v>09. The Course Instructor was approachable for questions and offered
assistance whenever necessary.</c:v>
                </c:pt>
                <c:pt idx="9">
                  <c:v>10. The Course Instructor made extra efforts to support all students, including
those who needed help.</c:v>
                </c:pt>
                <c:pt idx="10">
                  <c:v>11. The course instructor provided timely and constructive feedback on the
submitted tasks.</c:v>
                </c:pt>
                <c:pt idx="11">
                  <c:v>12. The course instructor provided e-resources and other reference materials
to support learning.</c:v>
                </c:pt>
                <c:pt idx="12">
                  <c:v>13. The course instructor fairly assessed and discussed the answers after each test and assignment.</c:v>
                </c:pt>
                <c:pt idx="13">
                  <c:v>14. Overall, I am satisfied with the course instructor's teaching methodology and approach.</c:v>
                </c:pt>
                <c:pt idx="14">
                  <c:v>15. The course instructor continuously improved their teaching based on feedback throughout the course.</c:v>
                </c:pt>
              </c:strCache>
            </c:strRef>
          </c:cat>
          <c:val>
            <c:numRef>
              <c:f>'20IT241'!$B$19:$P$19</c:f>
              <c:numCache>
                <c:formatCode>General</c:formatCode>
                <c:ptCount val="15"/>
                <c:pt idx="0">
                  <c:v>51</c:v>
                </c:pt>
                <c:pt idx="1">
                  <c:v>51</c:v>
                </c:pt>
                <c:pt idx="2">
                  <c:v>51</c:v>
                </c:pt>
                <c:pt idx="3">
                  <c:v>51</c:v>
                </c:pt>
                <c:pt idx="4">
                  <c:v>51</c:v>
                </c:pt>
                <c:pt idx="5">
                  <c:v>51</c:v>
                </c:pt>
                <c:pt idx="6">
                  <c:v>51</c:v>
                </c:pt>
                <c:pt idx="7">
                  <c:v>51</c:v>
                </c:pt>
                <c:pt idx="8">
                  <c:v>51</c:v>
                </c:pt>
                <c:pt idx="9">
                  <c:v>51</c:v>
                </c:pt>
                <c:pt idx="10">
                  <c:v>51</c:v>
                </c:pt>
                <c:pt idx="11">
                  <c:v>51</c:v>
                </c:pt>
                <c:pt idx="12">
                  <c:v>51</c:v>
                </c:pt>
                <c:pt idx="13">
                  <c:v>51</c:v>
                </c:pt>
                <c:pt idx="14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66-4BC8-A8B4-4BF00F66A329}"/>
            </c:ext>
          </c:extLst>
        </c:ser>
        <c:ser>
          <c:idx val="1"/>
          <c:order val="1"/>
          <c:tx>
            <c:strRef>
              <c:f>'16EI262'!#REF!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'20IT241'!$B$18:$P$18</c:f>
              <c:strCache>
                <c:ptCount val="15"/>
                <c:pt idx="0">
                  <c:v>01. The Course Instructor clearly explained the course objectives and outcomes.</c:v>
                </c:pt>
                <c:pt idx="1">
                  <c:v>02. The course instructor demonstrated a strong understanding of the subject matter.</c:v>
                </c:pt>
                <c:pt idx="2">
                  <c:v>03. The Course Instructor showcased effective communication skills.</c:v>
                </c:pt>
                <c:pt idx="3">
                  <c:v>04. The Course Instructor regularly arrived on time and was available throughout
the session.</c:v>
                </c:pt>
                <c:pt idx="4">
                  <c:v>05. The Course Instructor covered the syllabus and explained the topics well.</c:v>
                </c:pt>
                <c:pt idx="5">
                  <c:v>06. The Course Instructor effectively used teaching aids and technology to
enhance learning.</c:v>
                </c:pt>
                <c:pt idx="6">
                  <c:v>07. The Course Instructor used real-world scenarios that helped in developing
critical thinking and problem solving skills.</c:v>
                </c:pt>
                <c:pt idx="7">
                  <c:v>08. The Course Instructor engaged participation and encouraged involvement
through classroom activities.</c:v>
                </c:pt>
                <c:pt idx="8">
                  <c:v>09. The Course Instructor was approachable for questions and offered
assistance whenever necessary.</c:v>
                </c:pt>
                <c:pt idx="9">
                  <c:v>10. The Course Instructor made extra efforts to support all students, including
those who needed help.</c:v>
                </c:pt>
                <c:pt idx="10">
                  <c:v>11. The course instructor provided timely and constructive feedback on the
submitted tasks.</c:v>
                </c:pt>
                <c:pt idx="11">
                  <c:v>12. The course instructor provided e-resources and other reference materials
to support learning.</c:v>
                </c:pt>
                <c:pt idx="12">
                  <c:v>13. The course instructor fairly assessed and discussed the answers after each test and assignment.</c:v>
                </c:pt>
                <c:pt idx="13">
                  <c:v>14. Overall, I am satisfied with the course instructor's teaching methodology and approach.</c:v>
                </c:pt>
                <c:pt idx="14">
                  <c:v>15. The course instructor continuously improved their teaching based on feedback throughout the course.</c:v>
                </c:pt>
              </c:strCache>
            </c:strRef>
          </c:cat>
          <c:val>
            <c:numRef>
              <c:f>'16EI262'!#REF!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66-4BC8-A8B4-4BF00F66A329}"/>
            </c:ext>
          </c:extLst>
        </c:ser>
        <c:ser>
          <c:idx val="2"/>
          <c:order val="2"/>
          <c:tx>
            <c:strRef>
              <c:f>'20IT241'!$A$21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'20IT241'!$B$18:$P$18</c:f>
              <c:strCache>
                <c:ptCount val="15"/>
                <c:pt idx="0">
                  <c:v>01. The Course Instructor clearly explained the course objectives and outcomes.</c:v>
                </c:pt>
                <c:pt idx="1">
                  <c:v>02. The course instructor demonstrated a strong understanding of the subject matter.</c:v>
                </c:pt>
                <c:pt idx="2">
                  <c:v>03. The Course Instructor showcased effective communication skills.</c:v>
                </c:pt>
                <c:pt idx="3">
                  <c:v>04. The Course Instructor regularly arrived on time and was available throughout
the session.</c:v>
                </c:pt>
                <c:pt idx="4">
                  <c:v>05. The Course Instructor covered the syllabus and explained the topics well.</c:v>
                </c:pt>
                <c:pt idx="5">
                  <c:v>06. The Course Instructor effectively used teaching aids and technology to
enhance learning.</c:v>
                </c:pt>
                <c:pt idx="6">
                  <c:v>07. The Course Instructor used real-world scenarios that helped in developing
critical thinking and problem solving skills.</c:v>
                </c:pt>
                <c:pt idx="7">
                  <c:v>08. The Course Instructor engaged participation and encouraged involvement
through classroom activities.</c:v>
                </c:pt>
                <c:pt idx="8">
                  <c:v>09. The Course Instructor was approachable for questions and offered
assistance whenever necessary.</c:v>
                </c:pt>
                <c:pt idx="9">
                  <c:v>10. The Course Instructor made extra efforts to support all students, including
those who needed help.</c:v>
                </c:pt>
                <c:pt idx="10">
                  <c:v>11. The course instructor provided timely and constructive feedback on the
submitted tasks.</c:v>
                </c:pt>
                <c:pt idx="11">
                  <c:v>12. The course instructor provided e-resources and other reference materials
to support learning.</c:v>
                </c:pt>
                <c:pt idx="12">
                  <c:v>13. The course instructor fairly assessed and discussed the answers after each test and assignment.</c:v>
                </c:pt>
                <c:pt idx="13">
                  <c:v>14. Overall, I am satisfied with the course instructor's teaching methodology and approach.</c:v>
                </c:pt>
                <c:pt idx="14">
                  <c:v>15. The course instructor continuously improved their teaching based on feedback throughout the course.</c:v>
                </c:pt>
              </c:strCache>
            </c:strRef>
          </c:cat>
          <c:val>
            <c:numRef>
              <c:f>'20IT241'!$B$21:$P$21</c:f>
              <c:numCache>
                <c:formatCode>General</c:formatCode>
                <c:ptCount val="15"/>
                <c:pt idx="0">
                  <c:v>24</c:v>
                </c:pt>
                <c:pt idx="1">
                  <c:v>25</c:v>
                </c:pt>
                <c:pt idx="2">
                  <c:v>23</c:v>
                </c:pt>
                <c:pt idx="3">
                  <c:v>26</c:v>
                </c:pt>
                <c:pt idx="4">
                  <c:v>25</c:v>
                </c:pt>
                <c:pt idx="5">
                  <c:v>23</c:v>
                </c:pt>
                <c:pt idx="6">
                  <c:v>25</c:v>
                </c:pt>
                <c:pt idx="7">
                  <c:v>26</c:v>
                </c:pt>
                <c:pt idx="8">
                  <c:v>26</c:v>
                </c:pt>
                <c:pt idx="9">
                  <c:v>25</c:v>
                </c:pt>
                <c:pt idx="10">
                  <c:v>27</c:v>
                </c:pt>
                <c:pt idx="11">
                  <c:v>26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66-4BC8-A8B4-4BF00F66A329}"/>
            </c:ext>
          </c:extLst>
        </c:ser>
        <c:ser>
          <c:idx val="3"/>
          <c:order val="3"/>
          <c:tx>
            <c:strRef>
              <c:f>'20IT241'!$A$22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'20IT241'!$B$18:$P$18</c:f>
              <c:strCache>
                <c:ptCount val="15"/>
                <c:pt idx="0">
                  <c:v>01. The Course Instructor clearly explained the course objectives and outcomes.</c:v>
                </c:pt>
                <c:pt idx="1">
                  <c:v>02. The course instructor demonstrated a strong understanding of the subject matter.</c:v>
                </c:pt>
                <c:pt idx="2">
                  <c:v>03. The Course Instructor showcased effective communication skills.</c:v>
                </c:pt>
                <c:pt idx="3">
                  <c:v>04. The Course Instructor regularly arrived on time and was available throughout
the session.</c:v>
                </c:pt>
                <c:pt idx="4">
                  <c:v>05. The Course Instructor covered the syllabus and explained the topics well.</c:v>
                </c:pt>
                <c:pt idx="5">
                  <c:v>06. The Course Instructor effectively used teaching aids and technology to
enhance learning.</c:v>
                </c:pt>
                <c:pt idx="6">
                  <c:v>07. The Course Instructor used real-world scenarios that helped in developing
critical thinking and problem solving skills.</c:v>
                </c:pt>
                <c:pt idx="7">
                  <c:v>08. The Course Instructor engaged participation and encouraged involvement
through classroom activities.</c:v>
                </c:pt>
                <c:pt idx="8">
                  <c:v>09. The Course Instructor was approachable for questions and offered
assistance whenever necessary.</c:v>
                </c:pt>
                <c:pt idx="9">
                  <c:v>10. The Course Instructor made extra efforts to support all students, including
those who needed help.</c:v>
                </c:pt>
                <c:pt idx="10">
                  <c:v>11. The course instructor provided timely and constructive feedback on the
submitted tasks.</c:v>
                </c:pt>
                <c:pt idx="11">
                  <c:v>12. The course instructor provided e-resources and other reference materials
to support learning.</c:v>
                </c:pt>
                <c:pt idx="12">
                  <c:v>13. The course instructor fairly assessed and discussed the answers after each test and assignment.</c:v>
                </c:pt>
                <c:pt idx="13">
                  <c:v>14. Overall, I am satisfied with the course instructor's teaching methodology and approach.</c:v>
                </c:pt>
                <c:pt idx="14">
                  <c:v>15. The course instructor continuously improved their teaching based on feedback throughout the course.</c:v>
                </c:pt>
              </c:strCache>
            </c:strRef>
          </c:cat>
          <c:val>
            <c:numRef>
              <c:f>'20IT241'!$B$22:$P$22</c:f>
              <c:numCache>
                <c:formatCode>General</c:formatCode>
                <c:ptCount val="15"/>
                <c:pt idx="0">
                  <c:v>20</c:v>
                </c:pt>
                <c:pt idx="1">
                  <c:v>18</c:v>
                </c:pt>
                <c:pt idx="2">
                  <c:v>19</c:v>
                </c:pt>
                <c:pt idx="3">
                  <c:v>18</c:v>
                </c:pt>
                <c:pt idx="4">
                  <c:v>17</c:v>
                </c:pt>
                <c:pt idx="5">
                  <c:v>19</c:v>
                </c:pt>
                <c:pt idx="6">
                  <c:v>19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16</c:v>
                </c:pt>
                <c:pt idx="11">
                  <c:v>14</c:v>
                </c:pt>
                <c:pt idx="12">
                  <c:v>16</c:v>
                </c:pt>
                <c:pt idx="13">
                  <c:v>14</c:v>
                </c:pt>
                <c:pt idx="1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66-4BC8-A8B4-4BF00F66A329}"/>
            </c:ext>
          </c:extLst>
        </c:ser>
        <c:ser>
          <c:idx val="4"/>
          <c:order val="4"/>
          <c:tx>
            <c:strRef>
              <c:f>'20IT241'!$A$23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'20IT241'!$B$18:$P$18</c:f>
              <c:strCache>
                <c:ptCount val="15"/>
                <c:pt idx="0">
                  <c:v>01. The Course Instructor clearly explained the course objectives and outcomes.</c:v>
                </c:pt>
                <c:pt idx="1">
                  <c:v>02. The course instructor demonstrated a strong understanding of the subject matter.</c:v>
                </c:pt>
                <c:pt idx="2">
                  <c:v>03. The Course Instructor showcased effective communication skills.</c:v>
                </c:pt>
                <c:pt idx="3">
                  <c:v>04. The Course Instructor regularly arrived on time and was available throughout
the session.</c:v>
                </c:pt>
                <c:pt idx="4">
                  <c:v>05. The Course Instructor covered the syllabus and explained the topics well.</c:v>
                </c:pt>
                <c:pt idx="5">
                  <c:v>06. The Course Instructor effectively used teaching aids and technology to
enhance learning.</c:v>
                </c:pt>
                <c:pt idx="6">
                  <c:v>07. The Course Instructor used real-world scenarios that helped in developing
critical thinking and problem solving skills.</c:v>
                </c:pt>
                <c:pt idx="7">
                  <c:v>08. The Course Instructor engaged participation and encouraged involvement
through classroom activities.</c:v>
                </c:pt>
                <c:pt idx="8">
                  <c:v>09. The Course Instructor was approachable for questions and offered
assistance whenever necessary.</c:v>
                </c:pt>
                <c:pt idx="9">
                  <c:v>10. The Course Instructor made extra efforts to support all students, including
those who needed help.</c:v>
                </c:pt>
                <c:pt idx="10">
                  <c:v>11. The course instructor provided timely and constructive feedback on the
submitted tasks.</c:v>
                </c:pt>
                <c:pt idx="11">
                  <c:v>12. The course instructor provided e-resources and other reference materials
to support learning.</c:v>
                </c:pt>
                <c:pt idx="12">
                  <c:v>13. The course instructor fairly assessed and discussed the answers after each test and assignment.</c:v>
                </c:pt>
                <c:pt idx="13">
                  <c:v>14. Overall, I am satisfied with the course instructor's teaching methodology and approach.</c:v>
                </c:pt>
                <c:pt idx="14">
                  <c:v>15. The course instructor continuously improved their teaching based on feedback throughout the course.</c:v>
                </c:pt>
              </c:strCache>
            </c:strRef>
          </c:cat>
          <c:val>
            <c:numRef>
              <c:f>'20IT241'!$B$23:$P$23</c:f>
              <c:numCache>
                <c:formatCode>General</c:formatCode>
                <c:ptCount val="15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6</c:v>
                </c:pt>
                <c:pt idx="7">
                  <c:v>9</c:v>
                </c:pt>
                <c:pt idx="8">
                  <c:v>9</c:v>
                </c:pt>
                <c:pt idx="9">
                  <c:v>10</c:v>
                </c:pt>
                <c:pt idx="10">
                  <c:v>6</c:v>
                </c:pt>
                <c:pt idx="11">
                  <c:v>9</c:v>
                </c:pt>
                <c:pt idx="12">
                  <c:v>8</c:v>
                </c:pt>
                <c:pt idx="13">
                  <c:v>8</c:v>
                </c:pt>
                <c:pt idx="1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A66-4BC8-A8B4-4BF00F66A329}"/>
            </c:ext>
          </c:extLst>
        </c:ser>
        <c:ser>
          <c:idx val="5"/>
          <c:order val="5"/>
          <c:tx>
            <c:strRef>
              <c:f>'20IT241'!$A$25</c:f>
              <c:strCache>
                <c:ptCount val="1"/>
                <c:pt idx="0">
                  <c:v>%in 3&amp;4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'20IT241'!$B$18:$P$18</c:f>
              <c:strCache>
                <c:ptCount val="15"/>
                <c:pt idx="0">
                  <c:v>01. The Course Instructor clearly explained the course objectives and outcomes.</c:v>
                </c:pt>
                <c:pt idx="1">
                  <c:v>02. The course instructor demonstrated a strong understanding of the subject matter.</c:v>
                </c:pt>
                <c:pt idx="2">
                  <c:v>03. The Course Instructor showcased effective communication skills.</c:v>
                </c:pt>
                <c:pt idx="3">
                  <c:v>04. The Course Instructor regularly arrived on time and was available throughout
the session.</c:v>
                </c:pt>
                <c:pt idx="4">
                  <c:v>05. The Course Instructor covered the syllabus and explained the topics well.</c:v>
                </c:pt>
                <c:pt idx="5">
                  <c:v>06. The Course Instructor effectively used teaching aids and technology to
enhance learning.</c:v>
                </c:pt>
                <c:pt idx="6">
                  <c:v>07. The Course Instructor used real-world scenarios that helped in developing
critical thinking and problem solving skills.</c:v>
                </c:pt>
                <c:pt idx="7">
                  <c:v>08. The Course Instructor engaged participation and encouraged involvement
through classroom activities.</c:v>
                </c:pt>
                <c:pt idx="8">
                  <c:v>09. The Course Instructor was approachable for questions and offered
assistance whenever necessary.</c:v>
                </c:pt>
                <c:pt idx="9">
                  <c:v>10. The Course Instructor made extra efforts to support all students, including
those who needed help.</c:v>
                </c:pt>
                <c:pt idx="10">
                  <c:v>11. The course instructor provided timely and constructive feedback on the
submitted tasks.</c:v>
                </c:pt>
                <c:pt idx="11">
                  <c:v>12. The course instructor provided e-resources and other reference materials
to support learning.</c:v>
                </c:pt>
                <c:pt idx="12">
                  <c:v>13. The course instructor fairly assessed and discussed the answers after each test and assignment.</c:v>
                </c:pt>
                <c:pt idx="13">
                  <c:v>14. Overall, I am satisfied with the course instructor's teaching methodology and approach.</c:v>
                </c:pt>
                <c:pt idx="14">
                  <c:v>15. The course instructor continuously improved their teaching based on feedback throughout the course.</c:v>
                </c:pt>
              </c:strCache>
            </c:strRef>
          </c:cat>
          <c:val>
            <c:numRef>
              <c:f>'20IT241'!$B$25:$P$25</c:f>
              <c:numCache>
                <c:formatCode>0.0</c:formatCode>
                <c:ptCount val="15"/>
                <c:pt idx="0">
                  <c:v>86.274509803921575</c:v>
                </c:pt>
                <c:pt idx="1">
                  <c:v>84.313725490196077</c:v>
                </c:pt>
                <c:pt idx="2">
                  <c:v>82.35294117647058</c:v>
                </c:pt>
                <c:pt idx="3">
                  <c:v>86.274509803921575</c:v>
                </c:pt>
                <c:pt idx="4">
                  <c:v>82.35294117647058</c:v>
                </c:pt>
                <c:pt idx="5">
                  <c:v>82.35294117647058</c:v>
                </c:pt>
                <c:pt idx="6">
                  <c:v>86.274509803921575</c:v>
                </c:pt>
                <c:pt idx="7">
                  <c:v>80.392156862745097</c:v>
                </c:pt>
                <c:pt idx="8">
                  <c:v>80.392156862745097</c:v>
                </c:pt>
                <c:pt idx="9">
                  <c:v>78.431372549019613</c:v>
                </c:pt>
                <c:pt idx="10">
                  <c:v>84.313725490196077</c:v>
                </c:pt>
                <c:pt idx="11">
                  <c:v>78.431372549019613</c:v>
                </c:pt>
                <c:pt idx="12">
                  <c:v>82.35294117647058</c:v>
                </c:pt>
                <c:pt idx="13">
                  <c:v>82.35294117647058</c:v>
                </c:pt>
                <c:pt idx="14">
                  <c:v>84.313725490196077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A66-4BC8-A8B4-4BF00F66A32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98490768"/>
        <c:axId val="298491160"/>
      </c:barChart>
      <c:catAx>
        <c:axId val="298490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98491160"/>
        <c:crosses val="autoZero"/>
        <c:auto val="1"/>
        <c:lblAlgn val="ctr"/>
        <c:lblOffset val="100"/>
        <c:noMultiLvlLbl val="0"/>
      </c:catAx>
      <c:valAx>
        <c:axId val="298491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98490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 sz="7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24652</xdr:colOff>
      <xdr:row>0</xdr:row>
      <xdr:rowOff>172570</xdr:rowOff>
    </xdr:from>
    <xdr:to>
      <xdr:col>1</xdr:col>
      <xdr:colOff>788825</xdr:colOff>
      <xdr:row>4</xdr:row>
      <xdr:rowOff>22317</xdr:rowOff>
    </xdr:to>
    <xdr:pic>
      <xdr:nvPicPr>
        <xdr:cNvPr id="6" name="Picture 5" descr="Logo&#10;&#10;Description automatically generated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20270" y="172570"/>
          <a:ext cx="745795" cy="7574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0</xdr:row>
      <xdr:rowOff>170515</xdr:rowOff>
    </xdr:from>
    <xdr:to>
      <xdr:col>15</xdr:col>
      <xdr:colOff>201928</xdr:colOff>
      <xdr:row>4</xdr:row>
      <xdr:rowOff>67236</xdr:rowOff>
    </xdr:to>
    <xdr:pic>
      <xdr:nvPicPr>
        <xdr:cNvPr id="7" name="Picture 6" descr="Logo&#10;&#10;Description automatically generated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0018059" y="170515"/>
          <a:ext cx="919103" cy="80439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428624</xdr:colOff>
      <xdr:row>2</xdr:row>
      <xdr:rowOff>114300</xdr:rowOff>
    </xdr:from>
    <xdr:to>
      <xdr:col>28</xdr:col>
      <xdr:colOff>104775</xdr:colOff>
      <xdr:row>17</xdr:row>
      <xdr:rowOff>123825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7"/>
  <sheetViews>
    <sheetView topLeftCell="A6" zoomScale="85" zoomScaleNormal="85" zoomScaleSheetLayoutView="85" workbookViewId="0">
      <selection activeCell="B21" sqref="B21:P25"/>
    </sheetView>
  </sheetViews>
  <sheetFormatPr defaultRowHeight="14.4" x14ac:dyDescent="0.3"/>
  <cols>
    <col min="1" max="1" width="11.88671875" customWidth="1"/>
    <col min="2" max="2" width="13.33203125" customWidth="1"/>
    <col min="3" max="3" width="12.5546875" customWidth="1"/>
    <col min="4" max="4" width="13.33203125" customWidth="1"/>
    <col min="5" max="5" width="14.6640625" customWidth="1"/>
    <col min="6" max="6" width="13.88671875" customWidth="1"/>
    <col min="7" max="7" width="12.6640625" customWidth="1"/>
    <col min="8" max="8" width="14.6640625" customWidth="1"/>
    <col min="9" max="10" width="16.6640625" customWidth="1"/>
    <col min="11" max="11" width="10.44140625" customWidth="1"/>
    <col min="12" max="12" width="10.33203125" customWidth="1"/>
    <col min="13" max="13" width="11.44140625" customWidth="1"/>
    <col min="14" max="14" width="10" customWidth="1"/>
    <col min="15" max="15" width="10.6640625" customWidth="1"/>
    <col min="16" max="16" width="10.33203125" customWidth="1"/>
  </cols>
  <sheetData>
    <row r="1" spans="1:16" ht="15" customHeight="1" x14ac:dyDescent="0.3">
      <c r="A1" s="39" t="s">
        <v>10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ht="26.25" customHeight="1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</row>
    <row r="3" spans="1:16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</row>
    <row r="4" spans="1:16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</row>
    <row r="5" spans="1:16" x14ac:dyDescent="0.3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</row>
    <row r="6" spans="1:16" x14ac:dyDescent="0.3">
      <c r="A6" s="39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</row>
    <row r="7" spans="1:16" ht="15" hidden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5" hidden="1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6.8" x14ac:dyDescent="0.4">
      <c r="A9" s="40" t="s">
        <v>6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</row>
    <row r="10" spans="1:16" ht="15.75" hidden="1" customHeight="1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6.5" customHeight="1" thickBot="1" x14ac:dyDescent="0.35">
      <c r="A11" s="41" t="s">
        <v>11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</row>
    <row r="12" spans="1:16" ht="41.25" customHeight="1" thickBot="1" x14ac:dyDescent="0.35">
      <c r="A12" s="11" t="s">
        <v>7</v>
      </c>
      <c r="B12" s="12" t="s">
        <v>0</v>
      </c>
      <c r="C12" s="29" t="s">
        <v>8</v>
      </c>
      <c r="D12" s="30"/>
      <c r="E12" s="46" t="s">
        <v>1</v>
      </c>
      <c r="F12" s="47"/>
      <c r="G12" s="48"/>
      <c r="H12" s="31" t="s">
        <v>32</v>
      </c>
      <c r="I12" s="32"/>
      <c r="J12" s="32"/>
      <c r="K12" s="32"/>
      <c r="L12" s="44" t="s">
        <v>2</v>
      </c>
      <c r="M12" s="45"/>
      <c r="N12" s="42" t="s">
        <v>33</v>
      </c>
      <c r="O12" s="42"/>
      <c r="P12" s="43"/>
    </row>
    <row r="13" spans="1:16" ht="15" hidden="1" thickBot="1" x14ac:dyDescent="0.35">
      <c r="A13" s="13"/>
      <c r="P13" s="14"/>
    </row>
    <row r="14" spans="1:16" ht="21" hidden="1" thickBot="1" x14ac:dyDescent="0.4">
      <c r="A14" s="15"/>
      <c r="B14" s="16"/>
      <c r="C14" s="16"/>
      <c r="D14" s="16"/>
      <c r="E14" s="16"/>
      <c r="F14" s="16"/>
      <c r="G14" s="16"/>
      <c r="H14" s="16"/>
      <c r="I14" s="16"/>
      <c r="J14" s="16"/>
      <c r="P14" s="14"/>
    </row>
    <row r="15" spans="1:16" ht="29.25" hidden="1" customHeight="1" x14ac:dyDescent="0.35">
      <c r="A15" s="33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5"/>
    </row>
    <row r="16" spans="1:16" ht="15" hidden="1" thickBot="1" x14ac:dyDescent="0.35">
      <c r="A16" s="36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8"/>
    </row>
    <row r="17" spans="1:17" ht="32.25" hidden="1" customHeight="1" thickBot="1" x14ac:dyDescent="0.4">
      <c r="A17" s="25"/>
      <c r="B17" s="26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8"/>
    </row>
    <row r="18" spans="1:17" s="19" customFormat="1" ht="180" thickBot="1" x14ac:dyDescent="0.35">
      <c r="A18" s="17" t="s">
        <v>5</v>
      </c>
      <c r="B18" s="18" t="s">
        <v>12</v>
      </c>
      <c r="C18" s="18" t="s">
        <v>13</v>
      </c>
      <c r="D18" s="18" t="s">
        <v>14</v>
      </c>
      <c r="E18" s="18" t="s">
        <v>15</v>
      </c>
      <c r="F18" s="18" t="s">
        <v>16</v>
      </c>
      <c r="G18" s="18" t="s">
        <v>17</v>
      </c>
      <c r="H18" s="18" t="s">
        <v>18</v>
      </c>
      <c r="I18" s="18" t="s">
        <v>19</v>
      </c>
      <c r="J18" s="18" t="s">
        <v>20</v>
      </c>
      <c r="K18" s="18" t="s">
        <v>21</v>
      </c>
      <c r="L18" s="18" t="s">
        <v>22</v>
      </c>
      <c r="M18" s="18" t="s">
        <v>23</v>
      </c>
      <c r="N18" s="18" t="s">
        <v>24</v>
      </c>
      <c r="O18" s="18" t="s">
        <v>25</v>
      </c>
      <c r="P18" s="18" t="s">
        <v>26</v>
      </c>
      <c r="Q18" s="18" t="s">
        <v>27</v>
      </c>
    </row>
    <row r="19" spans="1:17" ht="24.75" customHeight="1" x14ac:dyDescent="0.3">
      <c r="A19" s="5" t="s">
        <v>4</v>
      </c>
      <c r="B19" s="6">
        <v>51</v>
      </c>
      <c r="C19" s="6">
        <v>51</v>
      </c>
      <c r="D19" s="6">
        <v>51</v>
      </c>
      <c r="E19" s="6">
        <v>51</v>
      </c>
      <c r="F19" s="6">
        <v>51</v>
      </c>
      <c r="G19" s="6">
        <v>51</v>
      </c>
      <c r="H19" s="6">
        <v>51</v>
      </c>
      <c r="I19" s="6">
        <v>51</v>
      </c>
      <c r="J19" s="6">
        <v>51</v>
      </c>
      <c r="K19" s="6">
        <v>51</v>
      </c>
      <c r="L19" s="6">
        <v>51</v>
      </c>
      <c r="M19" s="6">
        <v>51</v>
      </c>
      <c r="N19" s="6">
        <v>51</v>
      </c>
      <c r="O19" s="6">
        <v>51</v>
      </c>
      <c r="P19" s="6">
        <v>51</v>
      </c>
      <c r="Q19" s="6"/>
    </row>
    <row r="20" spans="1:17" x14ac:dyDescent="0.3">
      <c r="A20" s="3" t="s">
        <v>3</v>
      </c>
      <c r="B20" s="2">
        <f>SUM(A28:A78)</f>
        <v>169</v>
      </c>
      <c r="C20" s="2">
        <f t="shared" ref="C20:P20" si="0">SUM(B28:B78)</f>
        <v>169</v>
      </c>
      <c r="D20" s="2">
        <f t="shared" si="0"/>
        <v>166</v>
      </c>
      <c r="E20" s="2">
        <f t="shared" si="0"/>
        <v>171</v>
      </c>
      <c r="F20" s="2">
        <f t="shared" si="0"/>
        <v>167</v>
      </c>
      <c r="G20" s="2">
        <f t="shared" si="0"/>
        <v>166</v>
      </c>
      <c r="H20" s="2">
        <f t="shared" si="0"/>
        <v>170</v>
      </c>
      <c r="I20" s="2">
        <f t="shared" si="0"/>
        <v>168</v>
      </c>
      <c r="J20" s="2">
        <f t="shared" si="0"/>
        <v>168</v>
      </c>
      <c r="K20" s="2">
        <f t="shared" si="0"/>
        <v>166</v>
      </c>
      <c r="L20" s="2">
        <f t="shared" si="0"/>
        <v>170</v>
      </c>
      <c r="M20" s="2">
        <f t="shared" si="0"/>
        <v>166</v>
      </c>
      <c r="N20" s="2">
        <f t="shared" si="0"/>
        <v>169</v>
      </c>
      <c r="O20" s="2">
        <f t="shared" si="0"/>
        <v>171</v>
      </c>
      <c r="P20" s="2">
        <f t="shared" si="0"/>
        <v>174</v>
      </c>
      <c r="Q20" s="2"/>
    </row>
    <row r="21" spans="1:17" x14ac:dyDescent="0.3">
      <c r="A21" s="3">
        <f>4</f>
        <v>4</v>
      </c>
      <c r="B21" s="2">
        <f t="shared" ref="B21:P21" si="1">A80</f>
        <v>24</v>
      </c>
      <c r="C21" s="2">
        <f t="shared" si="1"/>
        <v>25</v>
      </c>
      <c r="D21" s="2">
        <f t="shared" si="1"/>
        <v>23</v>
      </c>
      <c r="E21" s="2">
        <f t="shared" si="1"/>
        <v>26</v>
      </c>
      <c r="F21" s="2">
        <f t="shared" si="1"/>
        <v>25</v>
      </c>
      <c r="G21" s="2">
        <f t="shared" si="1"/>
        <v>23</v>
      </c>
      <c r="H21" s="2">
        <f t="shared" si="1"/>
        <v>25</v>
      </c>
      <c r="I21" s="2">
        <f t="shared" si="1"/>
        <v>26</v>
      </c>
      <c r="J21" s="2">
        <f t="shared" si="1"/>
        <v>26</v>
      </c>
      <c r="K21" s="2">
        <f t="shared" si="1"/>
        <v>25</v>
      </c>
      <c r="L21" s="2">
        <f t="shared" si="1"/>
        <v>27</v>
      </c>
      <c r="M21" s="2">
        <f t="shared" si="1"/>
        <v>26</v>
      </c>
      <c r="N21" s="2">
        <f t="shared" si="1"/>
        <v>26</v>
      </c>
      <c r="O21" s="2">
        <f t="shared" si="1"/>
        <v>28</v>
      </c>
      <c r="P21" s="2">
        <f t="shared" si="1"/>
        <v>30</v>
      </c>
    </row>
    <row r="22" spans="1:17" x14ac:dyDescent="0.3">
      <c r="A22" s="3">
        <v>3</v>
      </c>
      <c r="B22" s="3">
        <f t="shared" ref="B22:P22" si="2">A81</f>
        <v>20</v>
      </c>
      <c r="C22" s="3">
        <f t="shared" si="2"/>
        <v>18</v>
      </c>
      <c r="D22" s="3">
        <f t="shared" si="2"/>
        <v>19</v>
      </c>
      <c r="E22" s="3">
        <f t="shared" si="2"/>
        <v>18</v>
      </c>
      <c r="F22" s="3">
        <f t="shared" si="2"/>
        <v>17</v>
      </c>
      <c r="G22" s="3">
        <f t="shared" si="2"/>
        <v>19</v>
      </c>
      <c r="H22" s="3">
        <f t="shared" si="2"/>
        <v>19</v>
      </c>
      <c r="I22" s="3">
        <f t="shared" si="2"/>
        <v>15</v>
      </c>
      <c r="J22" s="3">
        <f t="shared" si="2"/>
        <v>15</v>
      </c>
      <c r="K22" s="3">
        <f t="shared" si="2"/>
        <v>15</v>
      </c>
      <c r="L22" s="3">
        <f t="shared" si="2"/>
        <v>16</v>
      </c>
      <c r="M22" s="3">
        <f t="shared" si="2"/>
        <v>14</v>
      </c>
      <c r="N22" s="3">
        <f t="shared" si="2"/>
        <v>16</v>
      </c>
      <c r="O22" s="3">
        <f t="shared" si="2"/>
        <v>14</v>
      </c>
      <c r="P22" s="3">
        <f t="shared" si="2"/>
        <v>13</v>
      </c>
    </row>
    <row r="23" spans="1:17" x14ac:dyDescent="0.3">
      <c r="A23" s="3">
        <v>2</v>
      </c>
      <c r="B23" s="2">
        <f t="shared" ref="B23:P23" si="3">A82</f>
        <v>6</v>
      </c>
      <c r="C23" s="2">
        <f t="shared" si="3"/>
        <v>7</v>
      </c>
      <c r="D23" s="2">
        <f t="shared" si="3"/>
        <v>8</v>
      </c>
      <c r="E23" s="2">
        <f t="shared" si="3"/>
        <v>6</v>
      </c>
      <c r="F23" s="2">
        <f t="shared" si="3"/>
        <v>7</v>
      </c>
      <c r="G23" s="2">
        <f t="shared" si="3"/>
        <v>8</v>
      </c>
      <c r="H23" s="2">
        <f t="shared" si="3"/>
        <v>6</v>
      </c>
      <c r="I23" s="2">
        <f t="shared" si="3"/>
        <v>9</v>
      </c>
      <c r="J23" s="2">
        <f t="shared" si="3"/>
        <v>9</v>
      </c>
      <c r="K23" s="2">
        <f t="shared" si="3"/>
        <v>10</v>
      </c>
      <c r="L23" s="2">
        <f t="shared" si="3"/>
        <v>6</v>
      </c>
      <c r="M23" s="2">
        <f t="shared" si="3"/>
        <v>9</v>
      </c>
      <c r="N23" s="2">
        <f t="shared" si="3"/>
        <v>8</v>
      </c>
      <c r="O23" s="2">
        <f t="shared" si="3"/>
        <v>8</v>
      </c>
      <c r="P23" s="2">
        <f t="shared" si="3"/>
        <v>7</v>
      </c>
    </row>
    <row r="24" spans="1:17" x14ac:dyDescent="0.3">
      <c r="A24" s="3">
        <v>1</v>
      </c>
      <c r="B24" s="2">
        <f t="shared" ref="B24:P24" si="4">A83</f>
        <v>1</v>
      </c>
      <c r="C24" s="2">
        <f t="shared" si="4"/>
        <v>1</v>
      </c>
      <c r="D24" s="2">
        <f t="shared" si="4"/>
        <v>1</v>
      </c>
      <c r="E24" s="2">
        <f t="shared" si="4"/>
        <v>1</v>
      </c>
      <c r="F24" s="2">
        <f t="shared" si="4"/>
        <v>2</v>
      </c>
      <c r="G24" s="2">
        <f t="shared" si="4"/>
        <v>1</v>
      </c>
      <c r="H24" s="2">
        <f t="shared" si="4"/>
        <v>1</v>
      </c>
      <c r="I24" s="2">
        <f t="shared" si="4"/>
        <v>1</v>
      </c>
      <c r="J24" s="2">
        <f t="shared" si="4"/>
        <v>1</v>
      </c>
      <c r="K24" s="2">
        <f t="shared" si="4"/>
        <v>1</v>
      </c>
      <c r="L24" s="2">
        <f t="shared" si="4"/>
        <v>2</v>
      </c>
      <c r="M24" s="2">
        <f t="shared" si="4"/>
        <v>2</v>
      </c>
      <c r="N24" s="2">
        <f t="shared" si="4"/>
        <v>1</v>
      </c>
      <c r="O24" s="2">
        <f t="shared" si="4"/>
        <v>1</v>
      </c>
      <c r="P24" s="2">
        <f t="shared" si="4"/>
        <v>1</v>
      </c>
    </row>
    <row r="25" spans="1:17" x14ac:dyDescent="0.3">
      <c r="A25" s="3" t="s">
        <v>9</v>
      </c>
      <c r="B25" s="4">
        <f t="shared" ref="B25:P25" si="5">SUM(B21:B22)/B19*100</f>
        <v>86.274509803921575</v>
      </c>
      <c r="C25" s="4">
        <f t="shared" si="5"/>
        <v>84.313725490196077</v>
      </c>
      <c r="D25" s="4">
        <f t="shared" si="5"/>
        <v>82.35294117647058</v>
      </c>
      <c r="E25" s="4">
        <f t="shared" si="5"/>
        <v>86.274509803921575</v>
      </c>
      <c r="F25" s="4">
        <f t="shared" si="5"/>
        <v>82.35294117647058</v>
      </c>
      <c r="G25" s="4">
        <f t="shared" si="5"/>
        <v>82.35294117647058</v>
      </c>
      <c r="H25" s="4">
        <f t="shared" si="5"/>
        <v>86.274509803921575</v>
      </c>
      <c r="I25" s="4">
        <f t="shared" si="5"/>
        <v>80.392156862745097</v>
      </c>
      <c r="J25" s="4">
        <f t="shared" si="5"/>
        <v>80.392156862745097</v>
      </c>
      <c r="K25" s="4">
        <f t="shared" si="5"/>
        <v>78.431372549019613</v>
      </c>
      <c r="L25" s="4">
        <f t="shared" si="5"/>
        <v>84.313725490196077</v>
      </c>
      <c r="M25" s="4">
        <f t="shared" si="5"/>
        <v>78.431372549019613</v>
      </c>
      <c r="N25" s="4">
        <f t="shared" si="5"/>
        <v>82.35294117647058</v>
      </c>
      <c r="O25" s="4">
        <f t="shared" si="5"/>
        <v>82.35294117647058</v>
      </c>
      <c r="P25" s="4">
        <f t="shared" si="5"/>
        <v>84.313725490196077</v>
      </c>
    </row>
    <row r="26" spans="1:17" ht="15" thickBot="1" x14ac:dyDescent="0.35"/>
    <row r="27" spans="1:17" ht="77.25" customHeight="1" thickBot="1" x14ac:dyDescent="0.35">
      <c r="A27" s="10" t="str">
        <f>B18</f>
        <v>01. The Course Instructor clearly explained the course objectives and outcomes.</v>
      </c>
      <c r="B27" s="9" t="str">
        <f>C18</f>
        <v>02. The course instructor demonstrated a strong understanding of the subject matter.</v>
      </c>
      <c r="C27" s="9" t="str">
        <f t="shared" ref="C27:O27" si="6">D18</f>
        <v>03. The Course Instructor showcased effective communication skills.</v>
      </c>
      <c r="D27" s="9" t="str">
        <f t="shared" si="6"/>
        <v>04. The Course Instructor regularly arrived on time and was available throughout
the session.</v>
      </c>
      <c r="E27" s="9" t="str">
        <f t="shared" si="6"/>
        <v>05. The Course Instructor covered the syllabus and explained the topics well.</v>
      </c>
      <c r="F27" s="9" t="str">
        <f t="shared" si="6"/>
        <v>06. The Course Instructor effectively used teaching aids and technology to
enhance learning.</v>
      </c>
      <c r="G27" s="9" t="str">
        <f t="shared" si="6"/>
        <v>07. The Course Instructor used real-world scenarios that helped in developing
critical thinking and problem solving skills.</v>
      </c>
      <c r="H27" s="9" t="str">
        <f t="shared" si="6"/>
        <v>08. The Course Instructor engaged participation and encouraged involvement
through classroom activities.</v>
      </c>
      <c r="I27" s="9" t="str">
        <f t="shared" si="6"/>
        <v>09. The Course Instructor was approachable for questions and offered
assistance whenever necessary.</v>
      </c>
      <c r="J27" s="9" t="str">
        <f t="shared" si="6"/>
        <v>10. The Course Instructor made extra efforts to support all students, including
those who needed help.</v>
      </c>
      <c r="K27" s="9" t="str">
        <f t="shared" si="6"/>
        <v>11. The course instructor provided timely and constructive feedback on the
submitted tasks.</v>
      </c>
      <c r="L27" s="9" t="str">
        <f>M18</f>
        <v>12. The course instructor provided e-resources and other reference materials
to support learning.</v>
      </c>
      <c r="M27" s="9" t="str">
        <f t="shared" si="6"/>
        <v>13. The course instructor fairly assessed and discussed the answers after each test and assignment.</v>
      </c>
      <c r="N27" s="9" t="str">
        <f t="shared" si="6"/>
        <v>14. Overall, I am satisfied with the course instructor's teaching methodology and approach.</v>
      </c>
      <c r="O27" s="9" t="str">
        <f t="shared" si="6"/>
        <v>15. The course instructor continuously improved their teaching based on feedback throughout the course.</v>
      </c>
      <c r="P27" s="8"/>
    </row>
    <row r="28" spans="1:17" x14ac:dyDescent="0.3">
      <c r="A28" s="22">
        <v>2</v>
      </c>
      <c r="B28" s="22">
        <v>2</v>
      </c>
      <c r="C28" s="22">
        <v>2</v>
      </c>
      <c r="D28" s="22">
        <v>3</v>
      </c>
      <c r="E28" s="22">
        <v>2</v>
      </c>
      <c r="F28" s="22">
        <v>2</v>
      </c>
      <c r="G28" s="22">
        <v>3</v>
      </c>
      <c r="H28" s="22">
        <v>3</v>
      </c>
      <c r="I28" s="22">
        <v>2</v>
      </c>
      <c r="J28" s="22">
        <v>2</v>
      </c>
      <c r="K28" s="22">
        <v>2</v>
      </c>
      <c r="L28" s="22">
        <v>2</v>
      </c>
      <c r="M28" s="22">
        <v>2</v>
      </c>
      <c r="N28" s="22">
        <v>3</v>
      </c>
      <c r="O28" s="22">
        <v>2</v>
      </c>
      <c r="P28" s="22" t="s">
        <v>28</v>
      </c>
    </row>
    <row r="29" spans="1:17" x14ac:dyDescent="0.3">
      <c r="A29" s="23">
        <v>3</v>
      </c>
      <c r="B29" s="23">
        <v>4</v>
      </c>
      <c r="C29" s="23">
        <v>3</v>
      </c>
      <c r="D29" s="23">
        <v>3</v>
      </c>
      <c r="E29" s="23">
        <v>3</v>
      </c>
      <c r="F29" s="23">
        <v>3</v>
      </c>
      <c r="G29" s="23">
        <v>3</v>
      </c>
      <c r="H29" s="23">
        <v>3</v>
      </c>
      <c r="I29" s="23">
        <v>3</v>
      </c>
      <c r="J29" s="23">
        <v>3</v>
      </c>
      <c r="K29" s="23">
        <v>3</v>
      </c>
      <c r="L29" s="23">
        <v>3</v>
      </c>
      <c r="M29" s="23">
        <v>3</v>
      </c>
      <c r="N29" s="23">
        <v>3</v>
      </c>
      <c r="O29" s="23">
        <v>4</v>
      </c>
      <c r="P29" s="23" t="s">
        <v>40</v>
      </c>
    </row>
    <row r="30" spans="1:17" x14ac:dyDescent="0.3">
      <c r="A30" s="22">
        <v>3</v>
      </c>
      <c r="B30" s="22">
        <v>3</v>
      </c>
      <c r="C30" s="22">
        <v>3</v>
      </c>
      <c r="D30" s="22">
        <v>3</v>
      </c>
      <c r="E30" s="22">
        <v>3</v>
      </c>
      <c r="F30" s="22">
        <v>3</v>
      </c>
      <c r="G30" s="22">
        <v>3</v>
      </c>
      <c r="H30" s="22">
        <v>3</v>
      </c>
      <c r="I30" s="22">
        <v>3</v>
      </c>
      <c r="J30" s="22">
        <v>3</v>
      </c>
      <c r="K30" s="22">
        <v>3</v>
      </c>
      <c r="L30" s="22">
        <v>3</v>
      </c>
      <c r="M30" s="22">
        <v>3</v>
      </c>
      <c r="N30" s="22">
        <v>3</v>
      </c>
      <c r="O30" s="22">
        <v>3</v>
      </c>
      <c r="P30" s="22" t="s">
        <v>41</v>
      </c>
    </row>
    <row r="31" spans="1:17" x14ac:dyDescent="0.3">
      <c r="A31" s="23">
        <v>3</v>
      </c>
      <c r="B31" s="23">
        <v>3</v>
      </c>
      <c r="C31" s="23">
        <v>3</v>
      </c>
      <c r="D31" s="23">
        <v>3</v>
      </c>
      <c r="E31" s="23">
        <v>2</v>
      </c>
      <c r="F31" s="23">
        <v>3</v>
      </c>
      <c r="G31" s="23">
        <v>3</v>
      </c>
      <c r="H31" s="23">
        <v>2</v>
      </c>
      <c r="I31" s="23">
        <v>3</v>
      </c>
      <c r="J31" s="23">
        <v>2</v>
      </c>
      <c r="K31" s="23">
        <v>3</v>
      </c>
      <c r="L31" s="23">
        <v>2</v>
      </c>
      <c r="M31" s="23">
        <v>3</v>
      </c>
      <c r="N31" s="23">
        <v>2</v>
      </c>
      <c r="O31" s="23">
        <v>3</v>
      </c>
      <c r="P31" s="23" t="s">
        <v>42</v>
      </c>
    </row>
    <row r="32" spans="1:17" x14ac:dyDescent="0.3">
      <c r="A32" s="22">
        <v>4</v>
      </c>
      <c r="B32" s="22">
        <v>4</v>
      </c>
      <c r="C32" s="22">
        <v>4</v>
      </c>
      <c r="D32" s="22">
        <v>4</v>
      </c>
      <c r="E32" s="22">
        <v>4</v>
      </c>
      <c r="F32" s="22">
        <v>4</v>
      </c>
      <c r="G32" s="22">
        <v>4</v>
      </c>
      <c r="H32" s="22">
        <v>4</v>
      </c>
      <c r="I32" s="22">
        <v>4</v>
      </c>
      <c r="J32" s="22">
        <v>4</v>
      </c>
      <c r="K32" s="22">
        <v>4</v>
      </c>
      <c r="L32" s="22">
        <v>4</v>
      </c>
      <c r="M32" s="22">
        <v>4</v>
      </c>
      <c r="N32" s="22">
        <v>4</v>
      </c>
      <c r="O32" s="22">
        <v>4</v>
      </c>
      <c r="P32" s="22" t="s">
        <v>30</v>
      </c>
    </row>
    <row r="33" spans="1:16" x14ac:dyDescent="0.3">
      <c r="A33" s="23">
        <v>4</v>
      </c>
      <c r="B33" s="23">
        <v>4</v>
      </c>
      <c r="C33" s="23">
        <v>4</v>
      </c>
      <c r="D33" s="23">
        <v>4</v>
      </c>
      <c r="E33" s="23">
        <v>4</v>
      </c>
      <c r="F33" s="23">
        <v>4</v>
      </c>
      <c r="G33" s="23">
        <v>4</v>
      </c>
      <c r="H33" s="23">
        <v>4</v>
      </c>
      <c r="I33" s="23">
        <v>4</v>
      </c>
      <c r="J33" s="23">
        <v>4</v>
      </c>
      <c r="K33" s="23">
        <v>4</v>
      </c>
      <c r="L33" s="23">
        <v>4</v>
      </c>
      <c r="M33" s="23">
        <v>4</v>
      </c>
      <c r="N33" s="23">
        <v>4</v>
      </c>
      <c r="O33" s="23">
        <v>4</v>
      </c>
      <c r="P33" s="23" t="s">
        <v>29</v>
      </c>
    </row>
    <row r="34" spans="1:16" x14ac:dyDescent="0.3">
      <c r="A34" s="20">
        <v>3</v>
      </c>
      <c r="B34" s="20">
        <v>3</v>
      </c>
      <c r="C34" s="20">
        <v>3</v>
      </c>
      <c r="D34" s="20">
        <v>3</v>
      </c>
      <c r="E34" s="20">
        <v>3</v>
      </c>
      <c r="F34" s="20">
        <v>3</v>
      </c>
      <c r="G34" s="20">
        <v>3</v>
      </c>
      <c r="H34" s="20">
        <v>3</v>
      </c>
      <c r="I34" s="20">
        <v>3</v>
      </c>
      <c r="J34" s="20">
        <v>3</v>
      </c>
      <c r="K34" s="20">
        <v>3</v>
      </c>
      <c r="L34" s="20">
        <v>3</v>
      </c>
      <c r="M34" s="20">
        <v>3</v>
      </c>
      <c r="N34" s="20">
        <v>3</v>
      </c>
      <c r="O34" s="20">
        <v>3</v>
      </c>
      <c r="P34" s="20" t="s">
        <v>31</v>
      </c>
    </row>
    <row r="35" spans="1:16" x14ac:dyDescent="0.3">
      <c r="A35" s="23">
        <v>4</v>
      </c>
      <c r="B35" s="23">
        <v>4</v>
      </c>
      <c r="C35" s="23">
        <v>4</v>
      </c>
      <c r="D35" s="23">
        <v>4</v>
      </c>
      <c r="E35" s="23">
        <v>4</v>
      </c>
      <c r="F35" s="23">
        <v>4</v>
      </c>
      <c r="G35" s="23">
        <v>4</v>
      </c>
      <c r="H35" s="23">
        <v>4</v>
      </c>
      <c r="I35" s="23">
        <v>4</v>
      </c>
      <c r="J35" s="23">
        <v>4</v>
      </c>
      <c r="K35" s="23">
        <v>4</v>
      </c>
      <c r="L35" s="23">
        <v>4</v>
      </c>
      <c r="M35" s="23">
        <v>4</v>
      </c>
      <c r="N35" s="23">
        <v>4</v>
      </c>
      <c r="O35" s="23">
        <v>4</v>
      </c>
      <c r="P35" s="23" t="s">
        <v>30</v>
      </c>
    </row>
    <row r="36" spans="1:16" x14ac:dyDescent="0.3">
      <c r="A36" s="20">
        <v>4</v>
      </c>
      <c r="B36" s="20">
        <v>3</v>
      </c>
      <c r="C36" s="20">
        <v>2</v>
      </c>
      <c r="D36" s="20">
        <v>2</v>
      </c>
      <c r="E36" s="20">
        <v>3</v>
      </c>
      <c r="F36" s="20">
        <v>2</v>
      </c>
      <c r="G36" s="20">
        <v>3</v>
      </c>
      <c r="H36" s="20">
        <v>2</v>
      </c>
      <c r="I36" s="20">
        <v>3</v>
      </c>
      <c r="J36" s="20">
        <v>2</v>
      </c>
      <c r="K36" s="20">
        <v>3</v>
      </c>
      <c r="L36" s="20">
        <v>2</v>
      </c>
      <c r="M36" s="20">
        <v>3</v>
      </c>
      <c r="N36" s="20">
        <v>2</v>
      </c>
      <c r="O36" s="20">
        <v>3</v>
      </c>
      <c r="P36" s="20" t="s">
        <v>30</v>
      </c>
    </row>
    <row r="37" spans="1:16" x14ac:dyDescent="0.3">
      <c r="A37" s="23">
        <v>4</v>
      </c>
      <c r="B37" s="23">
        <v>4</v>
      </c>
      <c r="C37" s="23">
        <v>4</v>
      </c>
      <c r="D37" s="23">
        <v>4</v>
      </c>
      <c r="E37" s="23">
        <v>4</v>
      </c>
      <c r="F37" s="23">
        <v>4</v>
      </c>
      <c r="G37" s="23">
        <v>4</v>
      </c>
      <c r="H37" s="23">
        <v>4</v>
      </c>
      <c r="I37" s="23">
        <v>4</v>
      </c>
      <c r="J37" s="23">
        <v>4</v>
      </c>
      <c r="K37" s="23">
        <v>4</v>
      </c>
      <c r="L37" s="23">
        <v>4</v>
      </c>
      <c r="M37" s="23">
        <v>4</v>
      </c>
      <c r="N37" s="23">
        <v>4</v>
      </c>
      <c r="O37" s="23">
        <v>4</v>
      </c>
      <c r="P37" s="23" t="s">
        <v>34</v>
      </c>
    </row>
    <row r="38" spans="1:16" x14ac:dyDescent="0.3">
      <c r="A38" s="22">
        <v>3</v>
      </c>
      <c r="B38" s="22">
        <v>3</v>
      </c>
      <c r="C38" s="22">
        <v>3</v>
      </c>
      <c r="D38" s="22">
        <v>3</v>
      </c>
      <c r="E38" s="22">
        <v>3</v>
      </c>
      <c r="F38" s="22">
        <v>2</v>
      </c>
      <c r="G38" s="22">
        <v>3</v>
      </c>
      <c r="H38" s="22">
        <v>3</v>
      </c>
      <c r="I38" s="22">
        <v>2</v>
      </c>
      <c r="J38" s="22">
        <v>3</v>
      </c>
      <c r="K38" s="22">
        <v>4</v>
      </c>
      <c r="L38" s="22">
        <v>4</v>
      </c>
      <c r="M38" s="22">
        <v>4</v>
      </c>
      <c r="N38" s="22">
        <v>3</v>
      </c>
      <c r="O38" s="22">
        <v>3</v>
      </c>
      <c r="P38" s="22" t="s">
        <v>43</v>
      </c>
    </row>
    <row r="39" spans="1:16" x14ac:dyDescent="0.3">
      <c r="A39" s="23">
        <v>4</v>
      </c>
      <c r="B39" s="23">
        <v>4</v>
      </c>
      <c r="C39" s="23">
        <v>4</v>
      </c>
      <c r="D39" s="23">
        <v>4</v>
      </c>
      <c r="E39" s="23">
        <v>4</v>
      </c>
      <c r="F39" s="23">
        <v>4</v>
      </c>
      <c r="G39" s="23">
        <v>4</v>
      </c>
      <c r="H39" s="23">
        <v>4</v>
      </c>
      <c r="I39" s="23">
        <v>4</v>
      </c>
      <c r="J39" s="23">
        <v>4</v>
      </c>
      <c r="K39" s="23">
        <v>4</v>
      </c>
      <c r="L39" s="23">
        <v>4</v>
      </c>
      <c r="M39" s="23">
        <v>4</v>
      </c>
      <c r="N39" s="23">
        <v>4</v>
      </c>
      <c r="O39" s="23">
        <v>4</v>
      </c>
      <c r="P39" s="23" t="s">
        <v>29</v>
      </c>
    </row>
    <row r="40" spans="1:16" x14ac:dyDescent="0.3">
      <c r="A40" s="22">
        <v>4</v>
      </c>
      <c r="B40" s="22">
        <v>4</v>
      </c>
      <c r="C40" s="22">
        <v>4</v>
      </c>
      <c r="D40" s="22">
        <v>4</v>
      </c>
      <c r="E40" s="22">
        <v>4</v>
      </c>
      <c r="F40" s="22">
        <v>4</v>
      </c>
      <c r="G40" s="22">
        <v>4</v>
      </c>
      <c r="H40" s="22">
        <v>4</v>
      </c>
      <c r="I40" s="22">
        <v>4</v>
      </c>
      <c r="J40" s="22">
        <v>4</v>
      </c>
      <c r="K40" s="22">
        <v>4</v>
      </c>
      <c r="L40" s="22">
        <v>4</v>
      </c>
      <c r="M40" s="22">
        <v>4</v>
      </c>
      <c r="N40" s="22">
        <v>4</v>
      </c>
      <c r="O40" s="22">
        <v>4</v>
      </c>
      <c r="P40" s="22" t="s">
        <v>31</v>
      </c>
    </row>
    <row r="41" spans="1:16" x14ac:dyDescent="0.3">
      <c r="A41" s="23">
        <v>4</v>
      </c>
      <c r="B41" s="23">
        <v>4</v>
      </c>
      <c r="C41" s="23">
        <v>4</v>
      </c>
      <c r="D41" s="23">
        <v>4</v>
      </c>
      <c r="E41" s="23">
        <v>4</v>
      </c>
      <c r="F41" s="23">
        <v>4</v>
      </c>
      <c r="G41" s="23">
        <v>4</v>
      </c>
      <c r="H41" s="23">
        <v>4</v>
      </c>
      <c r="I41" s="23">
        <v>4</v>
      </c>
      <c r="J41" s="23">
        <v>4</v>
      </c>
      <c r="K41" s="23">
        <v>4</v>
      </c>
      <c r="L41" s="23">
        <v>4</v>
      </c>
      <c r="M41" s="23">
        <v>4</v>
      </c>
      <c r="N41" s="23">
        <v>4</v>
      </c>
      <c r="O41" s="23">
        <v>4</v>
      </c>
      <c r="P41" s="23" t="s">
        <v>28</v>
      </c>
    </row>
    <row r="42" spans="1:16" x14ac:dyDescent="0.3">
      <c r="A42" s="22">
        <v>4</v>
      </c>
      <c r="B42" s="22">
        <v>4</v>
      </c>
      <c r="C42" s="22">
        <v>4</v>
      </c>
      <c r="D42" s="22">
        <v>4</v>
      </c>
      <c r="E42" s="22">
        <v>4</v>
      </c>
      <c r="F42" s="22">
        <v>4</v>
      </c>
      <c r="G42" s="22">
        <v>4</v>
      </c>
      <c r="H42" s="22">
        <v>4</v>
      </c>
      <c r="I42" s="22">
        <v>4</v>
      </c>
      <c r="J42" s="22">
        <v>4</v>
      </c>
      <c r="K42" s="22">
        <v>4</v>
      </c>
      <c r="L42" s="22">
        <v>4</v>
      </c>
      <c r="M42" s="22">
        <v>4</v>
      </c>
      <c r="N42" s="22">
        <v>4</v>
      </c>
      <c r="O42" s="22">
        <v>4</v>
      </c>
      <c r="P42" s="22" t="s">
        <v>28</v>
      </c>
    </row>
    <row r="43" spans="1:16" x14ac:dyDescent="0.3">
      <c r="A43" s="23">
        <v>3</v>
      </c>
      <c r="B43" s="23">
        <v>3</v>
      </c>
      <c r="C43" s="23">
        <v>3</v>
      </c>
      <c r="D43" s="23">
        <v>4</v>
      </c>
      <c r="E43" s="23">
        <v>4</v>
      </c>
      <c r="F43" s="23">
        <v>3</v>
      </c>
      <c r="G43" s="23">
        <v>3</v>
      </c>
      <c r="H43" s="23">
        <v>3</v>
      </c>
      <c r="I43" s="23">
        <v>3</v>
      </c>
      <c r="J43" s="23">
        <v>3</v>
      </c>
      <c r="K43" s="23">
        <v>3</v>
      </c>
      <c r="L43" s="23">
        <v>3</v>
      </c>
      <c r="M43" s="23">
        <v>3</v>
      </c>
      <c r="N43" s="23">
        <v>3</v>
      </c>
      <c r="O43" s="23">
        <v>4</v>
      </c>
      <c r="P43" s="23" t="s">
        <v>35</v>
      </c>
    </row>
    <row r="44" spans="1:16" x14ac:dyDescent="0.3">
      <c r="A44" s="20">
        <v>4</v>
      </c>
      <c r="B44" s="20">
        <v>4</v>
      </c>
      <c r="C44" s="20">
        <v>4</v>
      </c>
      <c r="D44" s="20">
        <v>4</v>
      </c>
      <c r="E44" s="20">
        <v>4</v>
      </c>
      <c r="F44" s="20">
        <v>4</v>
      </c>
      <c r="G44" s="20">
        <v>4</v>
      </c>
      <c r="H44" s="20">
        <v>4</v>
      </c>
      <c r="I44" s="20">
        <v>4</v>
      </c>
      <c r="J44" s="20">
        <v>4</v>
      </c>
      <c r="K44" s="20">
        <v>4</v>
      </c>
      <c r="L44" s="20">
        <v>4</v>
      </c>
      <c r="M44" s="20">
        <v>4</v>
      </c>
      <c r="N44" s="20">
        <v>4</v>
      </c>
      <c r="O44" s="20">
        <v>4</v>
      </c>
      <c r="P44" s="20" t="s">
        <v>44</v>
      </c>
    </row>
    <row r="45" spans="1:16" x14ac:dyDescent="0.3">
      <c r="A45" s="21">
        <v>4</v>
      </c>
      <c r="B45" s="21">
        <v>4</v>
      </c>
      <c r="C45" s="21">
        <v>3</v>
      </c>
      <c r="D45" s="21">
        <v>4</v>
      </c>
      <c r="E45" s="21">
        <v>3</v>
      </c>
      <c r="F45" s="21">
        <v>3</v>
      </c>
      <c r="G45" s="21">
        <v>4</v>
      </c>
      <c r="H45" s="21">
        <v>4</v>
      </c>
      <c r="I45" s="21">
        <v>4</v>
      </c>
      <c r="J45" s="21">
        <v>3</v>
      </c>
      <c r="K45" s="21">
        <v>4</v>
      </c>
      <c r="L45" s="21">
        <v>4</v>
      </c>
      <c r="M45" s="21">
        <v>3</v>
      </c>
      <c r="N45" s="21">
        <v>4</v>
      </c>
      <c r="O45" s="21">
        <v>4</v>
      </c>
      <c r="P45" s="21" t="s">
        <v>45</v>
      </c>
    </row>
    <row r="46" spans="1:16" x14ac:dyDescent="0.3">
      <c r="A46" s="20">
        <v>3</v>
      </c>
      <c r="B46" s="20">
        <v>2</v>
      </c>
      <c r="C46" s="20">
        <v>3</v>
      </c>
      <c r="D46" s="20">
        <v>3</v>
      </c>
      <c r="E46" s="20">
        <v>3</v>
      </c>
      <c r="F46" s="20">
        <v>3</v>
      </c>
      <c r="G46" s="20">
        <v>3</v>
      </c>
      <c r="H46" s="20">
        <v>2</v>
      </c>
      <c r="I46" s="20">
        <v>2</v>
      </c>
      <c r="J46" s="20">
        <v>3</v>
      </c>
      <c r="K46" s="20">
        <v>3</v>
      </c>
      <c r="L46" s="20">
        <v>3</v>
      </c>
      <c r="M46" s="20">
        <v>4</v>
      </c>
      <c r="N46" s="20">
        <v>4</v>
      </c>
      <c r="O46" s="20">
        <v>4</v>
      </c>
      <c r="P46" s="20" t="s">
        <v>28</v>
      </c>
    </row>
    <row r="47" spans="1:16" x14ac:dyDescent="0.3">
      <c r="A47" s="23">
        <v>3</v>
      </c>
      <c r="B47" s="23">
        <v>3</v>
      </c>
      <c r="C47" s="23">
        <v>3</v>
      </c>
      <c r="D47" s="23">
        <v>3</v>
      </c>
      <c r="E47" s="23">
        <v>3</v>
      </c>
      <c r="F47" s="23">
        <v>3</v>
      </c>
      <c r="G47" s="23">
        <v>3</v>
      </c>
      <c r="H47" s="23">
        <v>3</v>
      </c>
      <c r="I47" s="23">
        <v>3</v>
      </c>
      <c r="J47" s="23">
        <v>3</v>
      </c>
      <c r="K47" s="23">
        <v>3</v>
      </c>
      <c r="L47" s="23">
        <v>3</v>
      </c>
      <c r="M47" s="23">
        <v>3</v>
      </c>
      <c r="N47" s="23">
        <v>4</v>
      </c>
      <c r="O47" s="23">
        <v>3</v>
      </c>
      <c r="P47" s="23" t="s">
        <v>30</v>
      </c>
    </row>
    <row r="48" spans="1:16" x14ac:dyDescent="0.3">
      <c r="A48" s="22">
        <v>2</v>
      </c>
      <c r="B48" s="22">
        <v>2</v>
      </c>
      <c r="C48" s="22">
        <v>2</v>
      </c>
      <c r="D48" s="22">
        <v>2</v>
      </c>
      <c r="E48" s="22">
        <v>2</v>
      </c>
      <c r="F48" s="22">
        <v>2</v>
      </c>
      <c r="G48" s="22">
        <v>2</v>
      </c>
      <c r="H48" s="22">
        <v>2</v>
      </c>
      <c r="I48" s="22">
        <v>2</v>
      </c>
      <c r="J48" s="22">
        <v>2</v>
      </c>
      <c r="K48" s="22">
        <v>2</v>
      </c>
      <c r="L48" s="22">
        <v>2</v>
      </c>
      <c r="M48" s="22">
        <v>2</v>
      </c>
      <c r="N48" s="22">
        <v>2</v>
      </c>
      <c r="O48" s="22">
        <v>2</v>
      </c>
      <c r="P48" s="22" t="s">
        <v>46</v>
      </c>
    </row>
    <row r="49" spans="1:16" x14ac:dyDescent="0.3">
      <c r="A49" s="21">
        <v>3</v>
      </c>
      <c r="B49" s="21">
        <v>4</v>
      </c>
      <c r="C49" s="21">
        <v>3</v>
      </c>
      <c r="D49" s="21">
        <v>4</v>
      </c>
      <c r="E49" s="21">
        <v>4</v>
      </c>
      <c r="F49" s="21">
        <v>3</v>
      </c>
      <c r="G49" s="21">
        <v>3</v>
      </c>
      <c r="H49" s="21">
        <v>4</v>
      </c>
      <c r="I49" s="21">
        <v>4</v>
      </c>
      <c r="J49" s="21">
        <v>4</v>
      </c>
      <c r="K49" s="21">
        <v>4</v>
      </c>
      <c r="L49" s="21">
        <v>4</v>
      </c>
      <c r="M49" s="21">
        <v>4</v>
      </c>
      <c r="N49" s="21">
        <v>4</v>
      </c>
      <c r="O49" s="21">
        <v>4</v>
      </c>
      <c r="P49" s="21" t="s">
        <v>47</v>
      </c>
    </row>
    <row r="50" spans="1:16" x14ac:dyDescent="0.3">
      <c r="A50" s="20">
        <v>4</v>
      </c>
      <c r="B50" s="20">
        <v>4</v>
      </c>
      <c r="C50" s="20">
        <v>4</v>
      </c>
      <c r="D50" s="20">
        <v>4</v>
      </c>
      <c r="E50" s="20">
        <v>4</v>
      </c>
      <c r="F50" s="20">
        <v>4</v>
      </c>
      <c r="G50" s="20">
        <v>4</v>
      </c>
      <c r="H50" s="20">
        <v>4</v>
      </c>
      <c r="I50" s="20">
        <v>4</v>
      </c>
      <c r="J50" s="20">
        <v>4</v>
      </c>
      <c r="K50" s="20">
        <v>4</v>
      </c>
      <c r="L50" s="20">
        <v>4</v>
      </c>
      <c r="M50" s="20">
        <v>4</v>
      </c>
      <c r="N50" s="20">
        <v>4</v>
      </c>
      <c r="O50" s="20">
        <v>4</v>
      </c>
      <c r="P50" s="20" t="s">
        <v>28</v>
      </c>
    </row>
    <row r="51" spans="1:16" x14ac:dyDescent="0.3">
      <c r="A51" s="21">
        <v>4</v>
      </c>
      <c r="B51" s="21">
        <v>4</v>
      </c>
      <c r="C51" s="21">
        <v>4</v>
      </c>
      <c r="D51" s="21">
        <v>4</v>
      </c>
      <c r="E51" s="21">
        <v>4</v>
      </c>
      <c r="F51" s="21">
        <v>4</v>
      </c>
      <c r="G51" s="21">
        <v>4</v>
      </c>
      <c r="H51" s="21">
        <v>4</v>
      </c>
      <c r="I51" s="21">
        <v>4</v>
      </c>
      <c r="J51" s="21">
        <v>4</v>
      </c>
      <c r="K51" s="21">
        <v>4</v>
      </c>
      <c r="L51" s="21">
        <v>4</v>
      </c>
      <c r="M51" s="21">
        <v>4</v>
      </c>
      <c r="N51" s="21">
        <v>4</v>
      </c>
      <c r="O51" s="21">
        <v>4</v>
      </c>
      <c r="P51" s="21" t="s">
        <v>36</v>
      </c>
    </row>
    <row r="52" spans="1:16" x14ac:dyDescent="0.3">
      <c r="A52" s="20">
        <v>2</v>
      </c>
      <c r="B52" s="20">
        <v>2</v>
      </c>
      <c r="C52" s="20">
        <v>2</v>
      </c>
      <c r="D52" s="20">
        <v>2</v>
      </c>
      <c r="E52" s="20">
        <v>2</v>
      </c>
      <c r="F52" s="20">
        <v>2</v>
      </c>
      <c r="G52" s="20">
        <v>2</v>
      </c>
      <c r="H52" s="20">
        <v>2</v>
      </c>
      <c r="I52" s="20">
        <v>2</v>
      </c>
      <c r="J52" s="20">
        <v>2</v>
      </c>
      <c r="K52" s="20">
        <v>2</v>
      </c>
      <c r="L52" s="20">
        <v>2</v>
      </c>
      <c r="M52" s="20">
        <v>2</v>
      </c>
      <c r="N52" s="20">
        <v>2</v>
      </c>
      <c r="O52" s="20">
        <v>2</v>
      </c>
      <c r="P52" s="20" t="s">
        <v>48</v>
      </c>
    </row>
    <row r="53" spans="1:16" x14ac:dyDescent="0.3">
      <c r="A53" s="21">
        <v>3</v>
      </c>
      <c r="B53" s="21">
        <v>3</v>
      </c>
      <c r="C53" s="21">
        <v>3</v>
      </c>
      <c r="D53" s="21">
        <v>3</v>
      </c>
      <c r="E53" s="21">
        <v>3</v>
      </c>
      <c r="F53" s="21">
        <v>3</v>
      </c>
      <c r="G53" s="21">
        <v>4</v>
      </c>
      <c r="H53" s="21">
        <v>4</v>
      </c>
      <c r="I53" s="21">
        <v>4</v>
      </c>
      <c r="J53" s="21">
        <v>4</v>
      </c>
      <c r="K53" s="21">
        <v>4</v>
      </c>
      <c r="L53" s="21">
        <v>4</v>
      </c>
      <c r="M53" s="21">
        <v>4</v>
      </c>
      <c r="N53" s="21">
        <v>4</v>
      </c>
      <c r="O53" s="21">
        <v>4</v>
      </c>
      <c r="P53" s="21" t="s">
        <v>37</v>
      </c>
    </row>
    <row r="54" spans="1:16" x14ac:dyDescent="0.3">
      <c r="A54" s="20">
        <v>3</v>
      </c>
      <c r="B54" s="20">
        <v>3</v>
      </c>
      <c r="C54" s="20">
        <v>3</v>
      </c>
      <c r="D54" s="20">
        <v>3</v>
      </c>
      <c r="E54" s="20">
        <v>3</v>
      </c>
      <c r="F54" s="20">
        <v>3</v>
      </c>
      <c r="G54" s="20">
        <v>3</v>
      </c>
      <c r="H54" s="20">
        <v>2</v>
      </c>
      <c r="I54" s="20">
        <v>3</v>
      </c>
      <c r="J54" s="20">
        <v>2</v>
      </c>
      <c r="K54" s="20">
        <v>3</v>
      </c>
      <c r="L54" s="20">
        <v>3</v>
      </c>
      <c r="M54" s="20">
        <v>3</v>
      </c>
      <c r="N54" s="20">
        <v>2</v>
      </c>
      <c r="O54" s="20">
        <v>3</v>
      </c>
      <c r="P54" s="20" t="s">
        <v>30</v>
      </c>
    </row>
    <row r="55" spans="1:16" x14ac:dyDescent="0.3">
      <c r="A55" s="21">
        <v>3</v>
      </c>
      <c r="B55" s="21">
        <v>3</v>
      </c>
      <c r="C55" s="21">
        <v>3</v>
      </c>
      <c r="D55" s="21">
        <v>4</v>
      </c>
      <c r="E55" s="21">
        <v>4</v>
      </c>
      <c r="F55" s="21">
        <v>4</v>
      </c>
      <c r="G55" s="21">
        <v>4</v>
      </c>
      <c r="H55" s="21">
        <v>4</v>
      </c>
      <c r="I55" s="21">
        <v>4</v>
      </c>
      <c r="J55" s="21">
        <v>4</v>
      </c>
      <c r="K55" s="21">
        <v>4</v>
      </c>
      <c r="L55" s="21">
        <v>4</v>
      </c>
      <c r="M55" s="21">
        <v>4</v>
      </c>
      <c r="N55" s="21">
        <v>4</v>
      </c>
      <c r="O55" s="21">
        <v>4</v>
      </c>
      <c r="P55" s="21" t="s">
        <v>49</v>
      </c>
    </row>
    <row r="56" spans="1:16" x14ac:dyDescent="0.3">
      <c r="A56" s="20">
        <v>4</v>
      </c>
      <c r="B56" s="20">
        <v>4</v>
      </c>
      <c r="C56" s="20">
        <v>4</v>
      </c>
      <c r="D56" s="20">
        <v>4</v>
      </c>
      <c r="E56" s="20">
        <v>4</v>
      </c>
      <c r="F56" s="20">
        <v>4</v>
      </c>
      <c r="G56" s="20">
        <v>4</v>
      </c>
      <c r="H56" s="20">
        <v>4</v>
      </c>
      <c r="I56" s="20">
        <v>4</v>
      </c>
      <c r="J56" s="20">
        <v>4</v>
      </c>
      <c r="K56" s="20">
        <v>4</v>
      </c>
      <c r="L56" s="20">
        <v>4</v>
      </c>
      <c r="M56" s="20">
        <v>4</v>
      </c>
      <c r="N56" s="20">
        <v>4</v>
      </c>
      <c r="O56" s="20">
        <v>4</v>
      </c>
      <c r="P56" s="20" t="s">
        <v>28</v>
      </c>
    </row>
    <row r="57" spans="1:16" x14ac:dyDescent="0.3">
      <c r="A57" s="23">
        <v>4</v>
      </c>
      <c r="B57" s="23">
        <v>4</v>
      </c>
      <c r="C57" s="23">
        <v>4</v>
      </c>
      <c r="D57" s="23">
        <v>4</v>
      </c>
      <c r="E57" s="23">
        <v>4</v>
      </c>
      <c r="F57" s="23">
        <v>4</v>
      </c>
      <c r="G57" s="23">
        <v>4</v>
      </c>
      <c r="H57" s="23">
        <v>4</v>
      </c>
      <c r="I57" s="23">
        <v>4</v>
      </c>
      <c r="J57" s="23">
        <v>4</v>
      </c>
      <c r="K57" s="23">
        <v>4</v>
      </c>
      <c r="L57" s="23">
        <v>4</v>
      </c>
      <c r="M57" s="23">
        <v>4</v>
      </c>
      <c r="N57" s="23">
        <v>4</v>
      </c>
      <c r="O57" s="23">
        <v>4</v>
      </c>
      <c r="P57" s="23" t="s">
        <v>28</v>
      </c>
    </row>
    <row r="58" spans="1:16" x14ac:dyDescent="0.3">
      <c r="A58" s="20">
        <v>4</v>
      </c>
      <c r="B58" s="20">
        <v>3</v>
      </c>
      <c r="C58" s="20">
        <v>2</v>
      </c>
      <c r="D58" s="20">
        <v>3</v>
      </c>
      <c r="E58" s="20">
        <v>2</v>
      </c>
      <c r="F58" s="20">
        <v>3</v>
      </c>
      <c r="G58" s="20">
        <v>3</v>
      </c>
      <c r="H58" s="20">
        <v>3</v>
      </c>
      <c r="I58" s="20">
        <v>2</v>
      </c>
      <c r="J58" s="20">
        <v>2</v>
      </c>
      <c r="K58" s="20">
        <v>2</v>
      </c>
      <c r="L58" s="20">
        <v>2</v>
      </c>
      <c r="M58" s="20">
        <v>2</v>
      </c>
      <c r="N58" s="20">
        <v>3</v>
      </c>
      <c r="O58" s="20">
        <v>4</v>
      </c>
      <c r="P58" s="20" t="s">
        <v>30</v>
      </c>
    </row>
    <row r="59" spans="1:16" x14ac:dyDescent="0.3">
      <c r="A59" s="21">
        <v>4</v>
      </c>
      <c r="B59" s="21">
        <v>4</v>
      </c>
      <c r="C59" s="21">
        <v>4</v>
      </c>
      <c r="D59" s="21">
        <v>4</v>
      </c>
      <c r="E59" s="21">
        <v>4</v>
      </c>
      <c r="F59" s="21">
        <v>4</v>
      </c>
      <c r="G59" s="21">
        <v>4</v>
      </c>
      <c r="H59" s="21">
        <v>4</v>
      </c>
      <c r="I59" s="21">
        <v>4</v>
      </c>
      <c r="J59" s="21">
        <v>4</v>
      </c>
      <c r="K59" s="21">
        <v>4</v>
      </c>
      <c r="L59" s="21">
        <v>4</v>
      </c>
      <c r="M59" s="21">
        <v>3</v>
      </c>
      <c r="N59" s="21">
        <v>4</v>
      </c>
      <c r="O59" s="21">
        <v>4</v>
      </c>
      <c r="P59" s="21" t="s">
        <v>28</v>
      </c>
    </row>
    <row r="60" spans="1:16" x14ac:dyDescent="0.3">
      <c r="A60" s="20">
        <v>3</v>
      </c>
      <c r="B60" s="20">
        <v>4</v>
      </c>
      <c r="C60" s="20">
        <v>4</v>
      </c>
      <c r="D60" s="20">
        <v>4</v>
      </c>
      <c r="E60" s="20">
        <v>4</v>
      </c>
      <c r="F60" s="20">
        <v>4</v>
      </c>
      <c r="G60" s="20">
        <v>4</v>
      </c>
      <c r="H60" s="20">
        <v>4</v>
      </c>
      <c r="I60" s="20">
        <v>4</v>
      </c>
      <c r="J60" s="20">
        <v>4</v>
      </c>
      <c r="K60" s="20">
        <v>4</v>
      </c>
      <c r="L60" s="20">
        <v>4</v>
      </c>
      <c r="M60" s="20">
        <v>4</v>
      </c>
      <c r="N60" s="20">
        <v>4</v>
      </c>
      <c r="O60" s="20">
        <v>4</v>
      </c>
      <c r="P60" s="20" t="s">
        <v>50</v>
      </c>
    </row>
    <row r="61" spans="1:16" x14ac:dyDescent="0.3">
      <c r="A61" s="21">
        <v>4</v>
      </c>
      <c r="B61" s="21">
        <v>4</v>
      </c>
      <c r="C61" s="21">
        <v>4</v>
      </c>
      <c r="D61" s="21">
        <v>4</v>
      </c>
      <c r="E61" s="21">
        <v>4</v>
      </c>
      <c r="F61" s="21">
        <v>4</v>
      </c>
      <c r="G61" s="21">
        <v>4</v>
      </c>
      <c r="H61" s="21">
        <v>4</v>
      </c>
      <c r="I61" s="21">
        <v>4</v>
      </c>
      <c r="J61" s="21">
        <v>4</v>
      </c>
      <c r="K61" s="21">
        <v>4</v>
      </c>
      <c r="L61" s="21">
        <v>4</v>
      </c>
      <c r="M61" s="21">
        <v>4</v>
      </c>
      <c r="N61" s="21">
        <v>4</v>
      </c>
      <c r="O61" s="21">
        <v>4</v>
      </c>
      <c r="P61" s="21" t="s">
        <v>51</v>
      </c>
    </row>
    <row r="62" spans="1:16" x14ac:dyDescent="0.3">
      <c r="A62" s="22">
        <v>3</v>
      </c>
      <c r="B62" s="22">
        <v>3</v>
      </c>
      <c r="C62" s="22">
        <v>3</v>
      </c>
      <c r="D62" s="22">
        <v>3</v>
      </c>
      <c r="E62" s="22">
        <v>3</v>
      </c>
      <c r="F62" s="22">
        <v>3</v>
      </c>
      <c r="G62" s="22">
        <v>3</v>
      </c>
      <c r="H62" s="22">
        <v>3</v>
      </c>
      <c r="I62" s="22">
        <v>3</v>
      </c>
      <c r="J62" s="22">
        <v>3</v>
      </c>
      <c r="K62" s="22">
        <v>3</v>
      </c>
      <c r="L62" s="22">
        <v>3</v>
      </c>
      <c r="M62" s="22">
        <v>3</v>
      </c>
      <c r="N62" s="22">
        <v>3</v>
      </c>
      <c r="O62" s="22">
        <v>3</v>
      </c>
      <c r="P62" s="22" t="s">
        <v>30</v>
      </c>
    </row>
    <row r="63" spans="1:16" x14ac:dyDescent="0.3">
      <c r="A63" s="21">
        <v>2</v>
      </c>
      <c r="B63" s="21">
        <v>2</v>
      </c>
      <c r="C63" s="21">
        <v>2</v>
      </c>
      <c r="D63" s="21">
        <v>2</v>
      </c>
      <c r="E63" s="21">
        <v>2</v>
      </c>
      <c r="F63" s="21">
        <v>2</v>
      </c>
      <c r="G63" s="21">
        <v>2</v>
      </c>
      <c r="H63" s="21">
        <v>2</v>
      </c>
      <c r="I63" s="21">
        <v>2</v>
      </c>
      <c r="J63" s="21">
        <v>2</v>
      </c>
      <c r="K63" s="21">
        <v>2</v>
      </c>
      <c r="L63" s="21">
        <v>2</v>
      </c>
      <c r="M63" s="21">
        <v>2</v>
      </c>
      <c r="N63" s="21">
        <v>2</v>
      </c>
      <c r="O63" s="21">
        <v>2</v>
      </c>
      <c r="P63" s="21" t="s">
        <v>52</v>
      </c>
    </row>
    <row r="64" spans="1:16" x14ac:dyDescent="0.3">
      <c r="A64" s="22">
        <v>3</v>
      </c>
      <c r="B64" s="22">
        <v>3</v>
      </c>
      <c r="C64" s="22">
        <v>3</v>
      </c>
      <c r="D64" s="22">
        <v>3</v>
      </c>
      <c r="E64" s="22">
        <v>3</v>
      </c>
      <c r="F64" s="22">
        <v>3</v>
      </c>
      <c r="G64" s="22">
        <v>3</v>
      </c>
      <c r="H64" s="22">
        <v>3</v>
      </c>
      <c r="I64" s="22">
        <v>3</v>
      </c>
      <c r="J64" s="22">
        <v>3</v>
      </c>
      <c r="K64" s="22">
        <v>3</v>
      </c>
      <c r="L64" s="22">
        <v>3</v>
      </c>
      <c r="M64" s="22">
        <v>3</v>
      </c>
      <c r="N64" s="22">
        <v>3</v>
      </c>
      <c r="O64" s="22">
        <v>3</v>
      </c>
      <c r="P64" s="22" t="s">
        <v>53</v>
      </c>
    </row>
    <row r="65" spans="1:16" x14ac:dyDescent="0.3">
      <c r="A65" s="23">
        <v>3</v>
      </c>
      <c r="B65" s="23">
        <v>3</v>
      </c>
      <c r="C65" s="23">
        <v>3</v>
      </c>
      <c r="D65" s="23">
        <v>3</v>
      </c>
      <c r="E65" s="23">
        <v>3</v>
      </c>
      <c r="F65" s="23">
        <v>3</v>
      </c>
      <c r="G65" s="23">
        <v>3</v>
      </c>
      <c r="H65" s="23">
        <v>3</v>
      </c>
      <c r="I65" s="23">
        <v>3</v>
      </c>
      <c r="J65" s="23">
        <v>3</v>
      </c>
      <c r="K65" s="23">
        <v>3</v>
      </c>
      <c r="L65" s="23">
        <v>3</v>
      </c>
      <c r="M65" s="23">
        <v>3</v>
      </c>
      <c r="N65" s="23">
        <v>3</v>
      </c>
      <c r="O65" s="23">
        <v>3</v>
      </c>
      <c r="P65" s="23" t="s">
        <v>54</v>
      </c>
    </row>
    <row r="66" spans="1:16" x14ac:dyDescent="0.3">
      <c r="A66" s="20">
        <v>4</v>
      </c>
      <c r="B66" s="20">
        <v>4</v>
      </c>
      <c r="C66" s="20">
        <v>4</v>
      </c>
      <c r="D66" s="20">
        <v>4</v>
      </c>
      <c r="E66" s="20">
        <v>3</v>
      </c>
      <c r="F66" s="20">
        <v>3</v>
      </c>
      <c r="G66" s="20">
        <v>2</v>
      </c>
      <c r="H66" s="20">
        <v>3</v>
      </c>
      <c r="I66" s="20">
        <v>3</v>
      </c>
      <c r="J66" s="20">
        <v>3</v>
      </c>
      <c r="K66" s="20">
        <v>3</v>
      </c>
      <c r="L66" s="20">
        <v>1</v>
      </c>
      <c r="M66" s="20">
        <v>2</v>
      </c>
      <c r="N66" s="20">
        <v>3</v>
      </c>
      <c r="O66" s="20">
        <v>2</v>
      </c>
      <c r="P66" s="20" t="s">
        <v>55</v>
      </c>
    </row>
    <row r="67" spans="1:16" x14ac:dyDescent="0.3">
      <c r="A67" s="23">
        <v>2</v>
      </c>
      <c r="B67" s="23">
        <v>2</v>
      </c>
      <c r="C67" s="23">
        <v>2</v>
      </c>
      <c r="D67" s="23">
        <v>2</v>
      </c>
      <c r="E67" s="23">
        <v>2</v>
      </c>
      <c r="F67" s="23">
        <v>2</v>
      </c>
      <c r="G67" s="23">
        <v>2</v>
      </c>
      <c r="H67" s="23">
        <v>2</v>
      </c>
      <c r="I67" s="23">
        <v>2</v>
      </c>
      <c r="J67" s="23">
        <v>2</v>
      </c>
      <c r="K67" s="23">
        <v>2</v>
      </c>
      <c r="L67" s="23">
        <v>2</v>
      </c>
      <c r="M67" s="23">
        <v>2</v>
      </c>
      <c r="N67" s="23">
        <v>2</v>
      </c>
      <c r="O67" s="23">
        <v>2</v>
      </c>
      <c r="P67" s="23" t="s">
        <v>56</v>
      </c>
    </row>
    <row r="68" spans="1:16" x14ac:dyDescent="0.3">
      <c r="A68" s="20">
        <v>2</v>
      </c>
      <c r="B68" s="20">
        <v>2</v>
      </c>
      <c r="C68" s="20">
        <v>2</v>
      </c>
      <c r="D68" s="20">
        <v>2</v>
      </c>
      <c r="E68" s="20">
        <v>1</v>
      </c>
      <c r="F68" s="20">
        <v>2</v>
      </c>
      <c r="G68" s="20">
        <v>2</v>
      </c>
      <c r="H68" s="20">
        <v>2</v>
      </c>
      <c r="I68" s="20">
        <v>2</v>
      </c>
      <c r="J68" s="20">
        <v>2</v>
      </c>
      <c r="K68" s="20">
        <v>1</v>
      </c>
      <c r="L68" s="20">
        <v>2</v>
      </c>
      <c r="M68" s="20">
        <v>2</v>
      </c>
      <c r="N68" s="20">
        <v>2</v>
      </c>
      <c r="O68" s="20">
        <v>2</v>
      </c>
      <c r="P68" s="20" t="s">
        <v>34</v>
      </c>
    </row>
    <row r="69" spans="1:16" x14ac:dyDescent="0.3">
      <c r="A69" s="21">
        <v>4</v>
      </c>
      <c r="B69" s="21">
        <v>4</v>
      </c>
      <c r="C69" s="21">
        <v>4</v>
      </c>
      <c r="D69" s="21">
        <v>4</v>
      </c>
      <c r="E69" s="21">
        <v>4</v>
      </c>
      <c r="F69" s="21">
        <v>4</v>
      </c>
      <c r="G69" s="21">
        <v>4</v>
      </c>
      <c r="H69" s="21">
        <v>4</v>
      </c>
      <c r="I69" s="21">
        <v>4</v>
      </c>
      <c r="J69" s="21">
        <v>4</v>
      </c>
      <c r="K69" s="21">
        <v>4</v>
      </c>
      <c r="L69" s="21">
        <v>4</v>
      </c>
      <c r="M69" s="21">
        <v>4</v>
      </c>
      <c r="N69" s="21">
        <v>4</v>
      </c>
      <c r="O69" s="21">
        <v>4</v>
      </c>
      <c r="P69" s="21" t="s">
        <v>57</v>
      </c>
    </row>
    <row r="70" spans="1:16" x14ac:dyDescent="0.3">
      <c r="A70" s="20">
        <v>4</v>
      </c>
      <c r="B70" s="20">
        <v>4</v>
      </c>
      <c r="C70" s="20">
        <v>4</v>
      </c>
      <c r="D70" s="20">
        <v>4</v>
      </c>
      <c r="E70" s="20">
        <v>4</v>
      </c>
      <c r="F70" s="20">
        <v>4</v>
      </c>
      <c r="G70" s="20">
        <v>4</v>
      </c>
      <c r="H70" s="20">
        <v>4</v>
      </c>
      <c r="I70" s="20">
        <v>4</v>
      </c>
      <c r="J70" s="20">
        <v>4</v>
      </c>
      <c r="K70" s="20">
        <v>4</v>
      </c>
      <c r="L70" s="20">
        <v>4</v>
      </c>
      <c r="M70" s="20">
        <v>4</v>
      </c>
      <c r="N70" s="20">
        <v>4</v>
      </c>
      <c r="O70" s="20">
        <v>4</v>
      </c>
      <c r="P70" s="20" t="s">
        <v>34</v>
      </c>
    </row>
    <row r="71" spans="1:16" x14ac:dyDescent="0.3">
      <c r="A71" s="23">
        <v>3</v>
      </c>
      <c r="B71" s="23">
        <v>3</v>
      </c>
      <c r="C71" s="23">
        <v>3</v>
      </c>
      <c r="D71" s="23">
        <v>3</v>
      </c>
      <c r="E71" s="23">
        <v>3</v>
      </c>
      <c r="F71" s="23">
        <v>3</v>
      </c>
      <c r="G71" s="23">
        <v>3</v>
      </c>
      <c r="H71" s="23">
        <v>3</v>
      </c>
      <c r="I71" s="23">
        <v>3</v>
      </c>
      <c r="J71" s="23">
        <v>3</v>
      </c>
      <c r="K71" s="23">
        <v>3</v>
      </c>
      <c r="L71" s="23">
        <v>3</v>
      </c>
      <c r="M71" s="23">
        <v>3</v>
      </c>
      <c r="N71" s="23">
        <v>3</v>
      </c>
      <c r="O71" s="23">
        <v>3</v>
      </c>
      <c r="P71" s="23" t="s">
        <v>34</v>
      </c>
    </row>
    <row r="72" spans="1:16" x14ac:dyDescent="0.3">
      <c r="A72" s="20">
        <v>3</v>
      </c>
      <c r="B72" s="20">
        <v>4</v>
      </c>
      <c r="C72" s="20">
        <v>4</v>
      </c>
      <c r="D72" s="20">
        <v>4</v>
      </c>
      <c r="E72" s="20">
        <v>4</v>
      </c>
      <c r="F72" s="20">
        <v>4</v>
      </c>
      <c r="G72" s="20">
        <v>4</v>
      </c>
      <c r="H72" s="20">
        <v>4</v>
      </c>
      <c r="I72" s="20">
        <v>4</v>
      </c>
      <c r="J72" s="20">
        <v>4</v>
      </c>
      <c r="K72" s="20">
        <v>4</v>
      </c>
      <c r="L72" s="20">
        <v>3</v>
      </c>
      <c r="M72" s="20">
        <v>4</v>
      </c>
      <c r="N72" s="20">
        <v>4</v>
      </c>
      <c r="O72" s="20">
        <v>4</v>
      </c>
      <c r="P72" s="20" t="s">
        <v>28</v>
      </c>
    </row>
    <row r="73" spans="1:16" x14ac:dyDescent="0.3">
      <c r="A73" s="21">
        <v>4</v>
      </c>
      <c r="B73" s="21">
        <v>4</v>
      </c>
      <c r="C73" s="21">
        <v>4</v>
      </c>
      <c r="D73" s="21">
        <v>4</v>
      </c>
      <c r="E73" s="21">
        <v>4</v>
      </c>
      <c r="F73" s="21">
        <v>4</v>
      </c>
      <c r="G73" s="21">
        <v>4</v>
      </c>
      <c r="H73" s="21">
        <v>4</v>
      </c>
      <c r="I73" s="21">
        <v>4</v>
      </c>
      <c r="J73" s="21">
        <v>4</v>
      </c>
      <c r="K73" s="21">
        <v>4</v>
      </c>
      <c r="L73" s="21">
        <v>4</v>
      </c>
      <c r="M73" s="21">
        <v>4</v>
      </c>
      <c r="N73" s="21">
        <v>4</v>
      </c>
      <c r="O73" s="21">
        <v>4</v>
      </c>
      <c r="P73" s="21" t="s">
        <v>38</v>
      </c>
    </row>
    <row r="74" spans="1:16" x14ac:dyDescent="0.3">
      <c r="A74" s="22">
        <v>1</v>
      </c>
      <c r="B74" s="22">
        <v>1</v>
      </c>
      <c r="C74" s="22">
        <v>1</v>
      </c>
      <c r="D74" s="22">
        <v>1</v>
      </c>
      <c r="E74" s="22">
        <v>1</v>
      </c>
      <c r="F74" s="22">
        <v>1</v>
      </c>
      <c r="G74" s="22">
        <v>1</v>
      </c>
      <c r="H74" s="22">
        <v>1</v>
      </c>
      <c r="I74" s="22">
        <v>1</v>
      </c>
      <c r="J74" s="22">
        <v>1</v>
      </c>
      <c r="K74" s="22">
        <v>1</v>
      </c>
      <c r="L74" s="22">
        <v>1</v>
      </c>
      <c r="M74" s="22">
        <v>1</v>
      </c>
      <c r="N74" s="22">
        <v>1</v>
      </c>
      <c r="O74" s="22">
        <v>1</v>
      </c>
      <c r="P74" s="22" t="s">
        <v>29</v>
      </c>
    </row>
    <row r="75" spans="1:16" x14ac:dyDescent="0.3">
      <c r="A75" s="21">
        <v>3</v>
      </c>
      <c r="B75" s="21">
        <v>3</v>
      </c>
      <c r="C75" s="21">
        <v>3</v>
      </c>
      <c r="D75" s="21">
        <v>3</v>
      </c>
      <c r="E75" s="21">
        <v>3</v>
      </c>
      <c r="F75" s="21">
        <v>3</v>
      </c>
      <c r="G75" s="21">
        <v>3</v>
      </c>
      <c r="H75" s="21">
        <v>3</v>
      </c>
      <c r="I75" s="21">
        <v>3</v>
      </c>
      <c r="J75" s="21">
        <v>3</v>
      </c>
      <c r="K75" s="21">
        <v>3</v>
      </c>
      <c r="L75" s="21">
        <v>3</v>
      </c>
      <c r="M75" s="21">
        <v>3</v>
      </c>
      <c r="N75" s="21">
        <v>3</v>
      </c>
      <c r="O75" s="21">
        <v>3</v>
      </c>
      <c r="P75" s="21" t="s">
        <v>35</v>
      </c>
    </row>
    <row r="76" spans="1:16" x14ac:dyDescent="0.3">
      <c r="A76" s="22">
        <v>4</v>
      </c>
      <c r="B76" s="22">
        <v>3</v>
      </c>
      <c r="C76" s="22">
        <v>4</v>
      </c>
      <c r="D76" s="22">
        <v>3</v>
      </c>
      <c r="E76" s="22">
        <v>4</v>
      </c>
      <c r="F76" s="22">
        <v>4</v>
      </c>
      <c r="G76" s="22">
        <v>4</v>
      </c>
      <c r="H76" s="22">
        <v>4</v>
      </c>
      <c r="I76" s="22">
        <v>4</v>
      </c>
      <c r="J76" s="22">
        <v>4</v>
      </c>
      <c r="K76" s="22">
        <v>4</v>
      </c>
      <c r="L76" s="22">
        <v>4</v>
      </c>
      <c r="M76" s="22">
        <v>4</v>
      </c>
      <c r="N76" s="22">
        <v>4</v>
      </c>
      <c r="O76" s="22">
        <v>4</v>
      </c>
      <c r="P76" s="22" t="s">
        <v>58</v>
      </c>
    </row>
    <row r="77" spans="1:16" x14ac:dyDescent="0.3">
      <c r="A77" s="21">
        <v>3</v>
      </c>
      <c r="B77" s="21">
        <v>3</v>
      </c>
      <c r="C77" s="21">
        <v>3</v>
      </c>
      <c r="D77" s="21">
        <v>3</v>
      </c>
      <c r="E77" s="21">
        <v>3</v>
      </c>
      <c r="F77" s="21">
        <v>3</v>
      </c>
      <c r="G77" s="21">
        <v>3</v>
      </c>
      <c r="H77" s="21">
        <v>3</v>
      </c>
      <c r="I77" s="21">
        <v>3</v>
      </c>
      <c r="J77" s="21">
        <v>3</v>
      </c>
      <c r="K77" s="21">
        <v>3</v>
      </c>
      <c r="L77" s="21">
        <v>3</v>
      </c>
      <c r="M77" s="21">
        <v>3</v>
      </c>
      <c r="N77" s="21">
        <v>3</v>
      </c>
      <c r="O77" s="21">
        <v>3</v>
      </c>
      <c r="P77" s="21" t="s">
        <v>59</v>
      </c>
    </row>
    <row r="78" spans="1:16" x14ac:dyDescent="0.3">
      <c r="A78" s="24">
        <v>4</v>
      </c>
      <c r="B78" s="24">
        <v>4</v>
      </c>
      <c r="C78" s="24">
        <v>4</v>
      </c>
      <c r="D78" s="24">
        <v>4</v>
      </c>
      <c r="E78" s="24">
        <v>4</v>
      </c>
      <c r="F78" s="24">
        <v>4</v>
      </c>
      <c r="G78" s="24">
        <v>4</v>
      </c>
      <c r="H78" s="24">
        <v>4</v>
      </c>
      <c r="I78" s="24">
        <v>4</v>
      </c>
      <c r="J78" s="24">
        <v>4</v>
      </c>
      <c r="K78" s="24">
        <v>4</v>
      </c>
      <c r="L78" s="24">
        <v>4</v>
      </c>
      <c r="M78" s="24">
        <v>4</v>
      </c>
      <c r="N78" s="24">
        <v>4</v>
      </c>
      <c r="O78" s="24">
        <v>4</v>
      </c>
      <c r="P78" s="24" t="s">
        <v>39</v>
      </c>
    </row>
    <row r="80" spans="1:16" x14ac:dyDescent="0.3">
      <c r="A80" s="7">
        <f>COUNTIF(A28:A78,4)</f>
        <v>24</v>
      </c>
      <c r="B80" s="7">
        <f t="shared" ref="B80:O80" si="7">COUNTIF(B28:B78,4)</f>
        <v>25</v>
      </c>
      <c r="C80" s="7">
        <f t="shared" si="7"/>
        <v>23</v>
      </c>
      <c r="D80" s="7">
        <f t="shared" si="7"/>
        <v>26</v>
      </c>
      <c r="E80" s="7">
        <f t="shared" si="7"/>
        <v>25</v>
      </c>
      <c r="F80" s="7">
        <f t="shared" si="7"/>
        <v>23</v>
      </c>
      <c r="G80" s="7">
        <f t="shared" si="7"/>
        <v>25</v>
      </c>
      <c r="H80" s="7">
        <f t="shared" si="7"/>
        <v>26</v>
      </c>
      <c r="I80" s="7">
        <f t="shared" si="7"/>
        <v>26</v>
      </c>
      <c r="J80" s="7">
        <f t="shared" si="7"/>
        <v>25</v>
      </c>
      <c r="K80" s="7">
        <f t="shared" si="7"/>
        <v>27</v>
      </c>
      <c r="L80" s="7">
        <f t="shared" si="7"/>
        <v>26</v>
      </c>
      <c r="M80" s="7">
        <f t="shared" si="7"/>
        <v>26</v>
      </c>
      <c r="N80" s="7">
        <f t="shared" si="7"/>
        <v>28</v>
      </c>
      <c r="O80" s="7">
        <f t="shared" si="7"/>
        <v>30</v>
      </c>
    </row>
    <row r="81" spans="1:15" x14ac:dyDescent="0.3">
      <c r="A81" s="7">
        <f>COUNTIF(A28:A78,3)</f>
        <v>20</v>
      </c>
      <c r="B81" s="7">
        <f t="shared" ref="B81:O81" si="8">COUNTIF(B28:B78,3)</f>
        <v>18</v>
      </c>
      <c r="C81" s="7">
        <f t="shared" si="8"/>
        <v>19</v>
      </c>
      <c r="D81" s="7">
        <f t="shared" si="8"/>
        <v>18</v>
      </c>
      <c r="E81" s="7">
        <f t="shared" si="8"/>
        <v>17</v>
      </c>
      <c r="F81" s="7">
        <f t="shared" si="8"/>
        <v>19</v>
      </c>
      <c r="G81" s="7">
        <f t="shared" si="8"/>
        <v>19</v>
      </c>
      <c r="H81" s="7">
        <f t="shared" si="8"/>
        <v>15</v>
      </c>
      <c r="I81" s="7">
        <f t="shared" si="8"/>
        <v>15</v>
      </c>
      <c r="J81" s="7">
        <f t="shared" si="8"/>
        <v>15</v>
      </c>
      <c r="K81" s="7">
        <f t="shared" si="8"/>
        <v>16</v>
      </c>
      <c r="L81" s="7">
        <f t="shared" si="8"/>
        <v>14</v>
      </c>
      <c r="M81" s="7">
        <f t="shared" si="8"/>
        <v>16</v>
      </c>
      <c r="N81" s="7">
        <f t="shared" si="8"/>
        <v>14</v>
      </c>
      <c r="O81" s="7">
        <f t="shared" si="8"/>
        <v>13</v>
      </c>
    </row>
    <row r="82" spans="1:15" x14ac:dyDescent="0.3">
      <c r="A82" s="7">
        <f>COUNTIF(A28:A78,2)</f>
        <v>6</v>
      </c>
      <c r="B82" s="7">
        <f t="shared" ref="B82:O82" si="9">COUNTIF(B28:B78,2)</f>
        <v>7</v>
      </c>
      <c r="C82" s="7">
        <f t="shared" si="9"/>
        <v>8</v>
      </c>
      <c r="D82" s="7">
        <f t="shared" si="9"/>
        <v>6</v>
      </c>
      <c r="E82" s="7">
        <f t="shared" si="9"/>
        <v>7</v>
      </c>
      <c r="F82" s="7">
        <f t="shared" si="9"/>
        <v>8</v>
      </c>
      <c r="G82" s="7">
        <f t="shared" si="9"/>
        <v>6</v>
      </c>
      <c r="H82" s="7">
        <f t="shared" si="9"/>
        <v>9</v>
      </c>
      <c r="I82" s="7">
        <f t="shared" si="9"/>
        <v>9</v>
      </c>
      <c r="J82" s="7">
        <f t="shared" si="9"/>
        <v>10</v>
      </c>
      <c r="K82" s="7">
        <f t="shared" si="9"/>
        <v>6</v>
      </c>
      <c r="L82" s="7">
        <f t="shared" si="9"/>
        <v>9</v>
      </c>
      <c r="M82" s="7">
        <f t="shared" si="9"/>
        <v>8</v>
      </c>
      <c r="N82" s="7">
        <f t="shared" si="9"/>
        <v>8</v>
      </c>
      <c r="O82" s="7">
        <f t="shared" si="9"/>
        <v>7</v>
      </c>
    </row>
    <row r="83" spans="1:15" x14ac:dyDescent="0.3">
      <c r="A83" s="7">
        <f>COUNTIF(A28:A78,1)</f>
        <v>1</v>
      </c>
      <c r="B83" s="7">
        <f t="shared" ref="B83:O83" si="10">COUNTIF(B28:B78,1)</f>
        <v>1</v>
      </c>
      <c r="C83" s="7">
        <f t="shared" si="10"/>
        <v>1</v>
      </c>
      <c r="D83" s="7">
        <f t="shared" si="10"/>
        <v>1</v>
      </c>
      <c r="E83" s="7">
        <f t="shared" si="10"/>
        <v>2</v>
      </c>
      <c r="F83" s="7">
        <f t="shared" si="10"/>
        <v>1</v>
      </c>
      <c r="G83" s="7">
        <f t="shared" si="10"/>
        <v>1</v>
      </c>
      <c r="H83" s="7">
        <f t="shared" si="10"/>
        <v>1</v>
      </c>
      <c r="I83" s="7">
        <f t="shared" si="10"/>
        <v>1</v>
      </c>
      <c r="J83" s="7">
        <f t="shared" si="10"/>
        <v>1</v>
      </c>
      <c r="K83" s="7">
        <f t="shared" si="10"/>
        <v>2</v>
      </c>
      <c r="L83" s="7">
        <f t="shared" si="10"/>
        <v>2</v>
      </c>
      <c r="M83" s="7">
        <f t="shared" si="10"/>
        <v>1</v>
      </c>
      <c r="N83" s="7">
        <f t="shared" si="10"/>
        <v>1</v>
      </c>
      <c r="O83" s="7">
        <f t="shared" si="10"/>
        <v>1</v>
      </c>
    </row>
    <row r="84" spans="1:15" x14ac:dyDescent="0.3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</row>
    <row r="85" spans="1:15" x14ac:dyDescent="0.3">
      <c r="A85" s="7">
        <f t="shared" ref="A85:O85" si="11">SUM(A80:A81)</f>
        <v>44</v>
      </c>
      <c r="B85" s="7">
        <f t="shared" si="11"/>
        <v>43</v>
      </c>
      <c r="C85" s="7">
        <f t="shared" si="11"/>
        <v>42</v>
      </c>
      <c r="D85" s="7">
        <f t="shared" si="11"/>
        <v>44</v>
      </c>
      <c r="E85" s="7">
        <f t="shared" si="11"/>
        <v>42</v>
      </c>
      <c r="F85" s="7">
        <f t="shared" si="11"/>
        <v>42</v>
      </c>
      <c r="G85" s="7">
        <f t="shared" si="11"/>
        <v>44</v>
      </c>
      <c r="H85" s="7">
        <f t="shared" si="11"/>
        <v>41</v>
      </c>
      <c r="I85" s="7">
        <f t="shared" si="11"/>
        <v>41</v>
      </c>
      <c r="J85" s="7">
        <f t="shared" si="11"/>
        <v>40</v>
      </c>
      <c r="K85" s="7">
        <f t="shared" si="11"/>
        <v>43</v>
      </c>
      <c r="L85" s="7">
        <f t="shared" si="11"/>
        <v>40</v>
      </c>
      <c r="M85" s="7">
        <f t="shared" si="11"/>
        <v>42</v>
      </c>
      <c r="N85" s="7">
        <f t="shared" si="11"/>
        <v>42</v>
      </c>
      <c r="O85" s="7">
        <f t="shared" si="11"/>
        <v>43</v>
      </c>
    </row>
    <row r="86" spans="1:15" x14ac:dyDescent="0.3">
      <c r="A86" s="7">
        <f t="shared" ref="A86:O86" si="12">SUM(A80:A83)</f>
        <v>51</v>
      </c>
      <c r="B86" s="7">
        <f t="shared" si="12"/>
        <v>51</v>
      </c>
      <c r="C86" s="7">
        <f t="shared" si="12"/>
        <v>51</v>
      </c>
      <c r="D86" s="7">
        <f t="shared" si="12"/>
        <v>51</v>
      </c>
      <c r="E86" s="7">
        <f t="shared" si="12"/>
        <v>51</v>
      </c>
      <c r="F86" s="7">
        <f t="shared" si="12"/>
        <v>51</v>
      </c>
      <c r="G86" s="7">
        <f t="shared" si="12"/>
        <v>51</v>
      </c>
      <c r="H86" s="7">
        <f t="shared" si="12"/>
        <v>51</v>
      </c>
      <c r="I86" s="7">
        <f t="shared" si="12"/>
        <v>51</v>
      </c>
      <c r="J86" s="7">
        <f t="shared" si="12"/>
        <v>51</v>
      </c>
      <c r="K86" s="7">
        <f t="shared" si="12"/>
        <v>51</v>
      </c>
      <c r="L86" s="7">
        <f t="shared" si="12"/>
        <v>51</v>
      </c>
      <c r="M86" s="7">
        <f t="shared" si="12"/>
        <v>51</v>
      </c>
      <c r="N86" s="7">
        <f t="shared" si="12"/>
        <v>51</v>
      </c>
      <c r="O86" s="7">
        <f t="shared" si="12"/>
        <v>51</v>
      </c>
    </row>
    <row r="87" spans="1:15" x14ac:dyDescent="0.3">
      <c r="A87" s="7">
        <f>(A85/A86)*100</f>
        <v>86.274509803921575</v>
      </c>
      <c r="B87" s="7">
        <f t="shared" ref="B87:O87" si="13">(B85/B86)*100</f>
        <v>84.313725490196077</v>
      </c>
      <c r="C87" s="7">
        <f t="shared" si="13"/>
        <v>82.35294117647058</v>
      </c>
      <c r="D87" s="7">
        <f t="shared" si="13"/>
        <v>86.274509803921575</v>
      </c>
      <c r="E87" s="7">
        <f t="shared" si="13"/>
        <v>82.35294117647058</v>
      </c>
      <c r="F87" s="7">
        <f t="shared" si="13"/>
        <v>82.35294117647058</v>
      </c>
      <c r="G87" s="7">
        <f t="shared" si="13"/>
        <v>86.274509803921575</v>
      </c>
      <c r="H87" s="7">
        <f t="shared" si="13"/>
        <v>80.392156862745097</v>
      </c>
      <c r="I87" s="7">
        <f t="shared" si="13"/>
        <v>80.392156862745097</v>
      </c>
      <c r="J87" s="7">
        <f t="shared" si="13"/>
        <v>78.431372549019613</v>
      </c>
      <c r="K87" s="7">
        <f t="shared" si="13"/>
        <v>84.313725490196077</v>
      </c>
      <c r="L87" s="7">
        <f t="shared" si="13"/>
        <v>78.431372549019613</v>
      </c>
      <c r="M87" s="7">
        <f t="shared" si="13"/>
        <v>82.35294117647058</v>
      </c>
      <c r="N87" s="7">
        <f t="shared" si="13"/>
        <v>82.35294117647058</v>
      </c>
      <c r="O87" s="7">
        <f t="shared" si="13"/>
        <v>84.313725490196077</v>
      </c>
    </row>
  </sheetData>
  <mergeCells count="11">
    <mergeCell ref="A1:P6"/>
    <mergeCell ref="A9:P9"/>
    <mergeCell ref="A11:P11"/>
    <mergeCell ref="N12:P12"/>
    <mergeCell ref="L12:M12"/>
    <mergeCell ref="E12:G12"/>
    <mergeCell ref="A17:P17"/>
    <mergeCell ref="C12:D12"/>
    <mergeCell ref="H12:K12"/>
    <mergeCell ref="A15:P15"/>
    <mergeCell ref="A16:P16"/>
  </mergeCells>
  <conditionalFormatting sqref="V26:XFD26">
    <cfRule type="cellIs" dxfId="0" priority="2" operator="lessThan">
      <formula>75</formula>
    </cfRule>
  </conditionalFormatting>
  <pageMargins left="0.70866141732283472" right="0.70866141732283472" top="0.74803149606299213" bottom="0.74803149606299213" header="0.31496062992125984" footer="0.31496062992125984"/>
  <pageSetup scale="71" fitToHeight="0" orientation="landscape" r:id="rId1"/>
  <rowBreaks count="1" manualBreakCount="1">
    <brk id="39" max="15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topLeftCell="M1" workbookViewId="0">
      <selection activeCell="AD18" sqref="AD18"/>
    </sheetView>
  </sheetViews>
  <sheetFormatPr defaultRowHeight="14.4" x14ac:dyDescent="0.3"/>
  <sheetData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20IT241</vt:lpstr>
      <vt:lpstr>20IT241-G</vt:lpstr>
      <vt:lpstr>'20IT241'!Print_Area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</dc:creator>
  <cp:lastModifiedBy>kingsy grace</cp:lastModifiedBy>
  <cp:lastPrinted>2024-08-01T09:13:24Z</cp:lastPrinted>
  <dcterms:created xsi:type="dcterms:W3CDTF">2022-03-31T06:36:43Z</dcterms:created>
  <dcterms:modified xsi:type="dcterms:W3CDTF">2024-10-22T08:20:31Z</dcterms:modified>
</cp:coreProperties>
</file>